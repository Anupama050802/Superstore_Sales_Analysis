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10ba6c4733bbc75/Documents/"/>
    </mc:Choice>
  </mc:AlternateContent>
  <xr:revisionPtr revIDLastSave="1487" documentId="11_DDCFB321358C719C1677FE08C2F6801362DEC4A8" xr6:coauthVersionLast="47" xr6:coauthVersionMax="47" xr10:uidLastSave="{18D94E44-2C05-4629-86A9-6EDAE3D17CA0}"/>
  <bookViews>
    <workbookView xWindow="-108" yWindow="-108" windowWidth="23256" windowHeight="12456" firstSheet="3" activeTab="8" xr2:uid="{00000000-000D-0000-FFFF-FFFF00000000}"/>
  </bookViews>
  <sheets>
    <sheet name="Problem_1" sheetId="1" r:id="rId1"/>
    <sheet name="Problem_2" sheetId="2" r:id="rId2"/>
    <sheet name="Problem_3" sheetId="3" r:id="rId3"/>
    <sheet name="Problem_4" sheetId="4" r:id="rId4"/>
    <sheet name="Problem_5" sheetId="5" r:id="rId5"/>
    <sheet name="Problem_6" sheetId="6" r:id="rId6"/>
    <sheet name="Problem_7" sheetId="7" r:id="rId7"/>
    <sheet name="Problem_8" sheetId="8" r:id="rId8"/>
    <sheet name="Dashboard" sheetId="9" r:id="rId9"/>
  </sheets>
  <definedNames>
    <definedName name="_xlnm._FilterDatabase" localSheetId="7" hidden="1">Problem_8!$C$8:$C$302</definedName>
  </definedNames>
  <calcPr calcId="191029"/>
  <pivotCaches>
    <pivotCache cacheId="0" r:id="rId10"/>
    <pivotCache cacheId="1" r:id="rId11"/>
    <pivotCache cacheId="2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3" i="5"/>
  <c r="H4" i="2"/>
  <c r="H5" i="2"/>
  <c r="H3" i="2"/>
  <c r="G4" i="2"/>
  <c r="G5" i="2"/>
  <c r="G3" i="2"/>
  <c r="F4" i="2"/>
  <c r="F5" i="2"/>
  <c r="F3" i="2"/>
  <c r="C7" i="1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110" i="8"/>
  <c r="A111" i="8"/>
  <c r="A112" i="8"/>
  <c r="A109" i="8"/>
</calcChain>
</file>

<file path=xl/sharedStrings.xml><?xml version="1.0" encoding="utf-8"?>
<sst xmlns="http://schemas.openxmlformats.org/spreadsheetml/2006/main" count="4238" uniqueCount="2305">
  <si>
    <t>Total_Sales</t>
  </si>
  <si>
    <t>Total_Profit</t>
  </si>
  <si>
    <t>Total_Orders</t>
  </si>
  <si>
    <t>Total_Customers</t>
  </si>
  <si>
    <t>Avg_Order_Value</t>
  </si>
  <si>
    <t>Category</t>
  </si>
  <si>
    <t>Sales</t>
  </si>
  <si>
    <t>Technology</t>
  </si>
  <si>
    <t>Furniture</t>
  </si>
  <si>
    <t>Office Supplies</t>
  </si>
  <si>
    <t>Profit</t>
  </si>
  <si>
    <t>Sub-Category</t>
  </si>
  <si>
    <t>Phones</t>
  </si>
  <si>
    <t>Chairs</t>
  </si>
  <si>
    <t>Storage</t>
  </si>
  <si>
    <t>Tables</t>
  </si>
  <si>
    <t>Binders</t>
  </si>
  <si>
    <t>Machines</t>
  </si>
  <si>
    <t>Accessories</t>
  </si>
  <si>
    <t>Copiers</t>
  </si>
  <si>
    <t>Bookcases</t>
  </si>
  <si>
    <t>Appliances</t>
  </si>
  <si>
    <t>Furnishings</t>
  </si>
  <si>
    <t>Paper</t>
  </si>
  <si>
    <t>Supplies</t>
  </si>
  <si>
    <t>Art</t>
  </si>
  <si>
    <t>Envelopes</t>
  </si>
  <si>
    <t>Labels</t>
  </si>
  <si>
    <t>Fasteners</t>
  </si>
  <si>
    <t>Product Name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</si>
  <si>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</si>
  <si>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</si>
  <si>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</si>
  <si>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</si>
  <si>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</si>
  <si>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</si>
  <si>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</si>
  <si>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</si>
  <si>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</si>
  <si>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</si>
  <si>
    <t>Cubify CubeX 3D Printer Double Head Print</t>
  </si>
  <si>
    <t>Lexmark MX611dhe Monochrome Laser Printer</t>
  </si>
  <si>
    <t>Cubify CubeX 3D Printer Triple Head Print</t>
  </si>
  <si>
    <t>Chromcraft Bull-Nose Wood Oval Conference Tables &amp; Bases</t>
  </si>
  <si>
    <t>Bush Advantage Collection Racetrack Conference Table</t>
  </si>
  <si>
    <t>Martin Yale Chadless Opener Electric Letter Opener</t>
  </si>
  <si>
    <t>Balt Solid Wood Round Tables</t>
  </si>
  <si>
    <t>BoxOffice By Design Rectangular and Half-Moon Meeting Room Tables</t>
  </si>
  <si>
    <t>Customer Name</t>
  </si>
  <si>
    <t>Sean Miller</t>
  </si>
  <si>
    <t>Tamara Chand</t>
  </si>
  <si>
    <t>Raymond Buch</t>
  </si>
  <si>
    <t>Tom Ashbrook</t>
  </si>
  <si>
    <t>Adrian Barton</t>
  </si>
  <si>
    <t>Ken Lonsdale</t>
  </si>
  <si>
    <t>Sanjit Chand</t>
  </si>
  <si>
    <t>Hunter Lopez</t>
  </si>
  <si>
    <t>Sanjit Engle</t>
  </si>
  <si>
    <t>Christopher Conant</t>
  </si>
  <si>
    <t>Segment</t>
  </si>
  <si>
    <t>Consumer</t>
  </si>
  <si>
    <t>Corporate</t>
  </si>
  <si>
    <t>Home Office</t>
  </si>
  <si>
    <t>Region</t>
  </si>
  <si>
    <t>West</t>
  </si>
  <si>
    <t>East</t>
  </si>
  <si>
    <t>Central</t>
  </si>
  <si>
    <t>South</t>
  </si>
  <si>
    <t>State</t>
  </si>
  <si>
    <t>California</t>
  </si>
  <si>
    <t>New York</t>
  </si>
  <si>
    <t>Texas</t>
  </si>
  <si>
    <t>Washington</t>
  </si>
  <si>
    <t>Pennsylvania</t>
  </si>
  <si>
    <t>Florida</t>
  </si>
  <si>
    <t>Illinois</t>
  </si>
  <si>
    <t>Ohio</t>
  </si>
  <si>
    <t>Michigan</t>
  </si>
  <si>
    <t>Virginia</t>
  </si>
  <si>
    <t>Month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</si>
  <si>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</si>
  <si>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</si>
  <si>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</si>
  <si>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</si>
  <si>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</si>
  <si>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</si>
  <si>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</si>
  <si>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</si>
  <si>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</si>
  <si>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</si>
  <si>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</si>
  <si>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</si>
  <si>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</si>
  <si>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</si>
  <si>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</si>
  <si>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</si>
  <si>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</si>
  <si>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</si>
  <si>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</si>
  <si>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</si>
  <si>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</si>
  <si>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</si>
  <si>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</si>
  <si>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</si>
  <si>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</si>
  <si>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</si>
  <si>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</si>
  <si>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</si>
  <si>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</si>
  <si>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</si>
  <si>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</si>
  <si>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</si>
  <si>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</si>
  <si>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</si>
  <si>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</si>
  <si>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</si>
  <si>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</si>
  <si>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</si>
  <si>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</si>
  <si>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</si>
  <si>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</si>
  <si>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</si>
  <si>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</si>
  <si>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</si>
  <si>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</si>
  <si>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</si>
  <si>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</si>
  <si>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</si>
  <si>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Discount</t>
  </si>
  <si>
    <t>Avg_Profit</t>
  </si>
  <si>
    <t>Ship Mode</t>
  </si>
  <si>
    <t>Orders</t>
  </si>
  <si>
    <t>Standard Class</t>
  </si>
  <si>
    <t>Second Class</t>
  </si>
  <si>
    <t>First Class</t>
  </si>
  <si>
    <t>Same Day</t>
  </si>
  <si>
    <t>Rank</t>
  </si>
  <si>
    <t>Aaron Smayling</t>
  </si>
  <si>
    <t>Adam Bellavance</t>
  </si>
  <si>
    <t>Adam Hart</t>
  </si>
  <si>
    <t>Adam Shillingsburg</t>
  </si>
  <si>
    <t>Alan Dominguez</t>
  </si>
  <si>
    <t>Alan Hwang</t>
  </si>
  <si>
    <t>Alan Schoenberger</t>
  </si>
  <si>
    <t>Alejandro Savely</t>
  </si>
  <si>
    <t>Alex Avila</t>
  </si>
  <si>
    <t>Amy Cox</t>
  </si>
  <si>
    <t>Andy Reiter</t>
  </si>
  <si>
    <t>Anna Andreadi</t>
  </si>
  <si>
    <t>Anna Gayman</t>
  </si>
  <si>
    <t>Anna Häberlin</t>
  </si>
  <si>
    <t>Anne McFarland</t>
  </si>
  <si>
    <t>Annie Thurman</t>
  </si>
  <si>
    <t>Anthony Jacobs</t>
  </si>
  <si>
    <t>Anthony Johnson</t>
  </si>
  <si>
    <t>Anthony Rawles</t>
  </si>
  <si>
    <t>Arianne Irving</t>
  </si>
  <si>
    <t>Arthur Gainer</t>
  </si>
  <si>
    <t>Arthur Prichep</t>
  </si>
  <si>
    <t>Bart Watters</t>
  </si>
  <si>
    <t>Becky Castell</t>
  </si>
  <si>
    <t>Becky Martin</t>
  </si>
  <si>
    <t>Ben Ferrer</t>
  </si>
  <si>
    <t>Ben Peterman</t>
  </si>
  <si>
    <t>Bill Donatelli</t>
  </si>
  <si>
    <t>Bill Eplett</t>
  </si>
  <si>
    <t>Bill Shonely</t>
  </si>
  <si>
    <t>Bill Stewart</t>
  </si>
  <si>
    <t>Bradley Drucker</t>
  </si>
  <si>
    <t>Brenda Bowman</t>
  </si>
  <si>
    <t>Brian Dahlen</t>
  </si>
  <si>
    <t>Brian Moss</t>
  </si>
  <si>
    <t>Brian Stugart</t>
  </si>
  <si>
    <t>Brian Thompson</t>
  </si>
  <si>
    <t>Brosina Hoffman</t>
  </si>
  <si>
    <t>Carlos Soltero</t>
  </si>
  <si>
    <t>Carol Adams</t>
  </si>
  <si>
    <t>Carol Triggs</t>
  </si>
  <si>
    <t>Caroline Jumper</t>
  </si>
  <si>
    <t>Cassandra Brandow</t>
  </si>
  <si>
    <t>Cathy Prescott</t>
  </si>
  <si>
    <t>Chloris Kastensmidt</t>
  </si>
  <si>
    <t>Chris Cortes</t>
  </si>
  <si>
    <t>Christine Kargatis</t>
  </si>
  <si>
    <t>Christine Phan</t>
  </si>
  <si>
    <t>Christine Sundaresam</t>
  </si>
  <si>
    <t>Christopher Martinez</t>
  </si>
  <si>
    <t>Christopher Schild</t>
  </si>
  <si>
    <t>Cindy Stewart</t>
  </si>
  <si>
    <t>Claudia Bergmann</t>
  </si>
  <si>
    <t>Clay Ludtke</t>
  </si>
  <si>
    <t>Corinna Mitchell</t>
  </si>
  <si>
    <t>Craig Molinari</t>
  </si>
  <si>
    <t>Craig Yedwab</t>
  </si>
  <si>
    <t>Cynthia Arntzen</t>
  </si>
  <si>
    <t>Damala Kotsonis</t>
  </si>
  <si>
    <t>Dan Campbell</t>
  </si>
  <si>
    <t>Dan Reichenbach</t>
  </si>
  <si>
    <t>Dana Kaydos</t>
  </si>
  <si>
    <t>Daniel Lacy</t>
  </si>
  <si>
    <t>Daniel Raglin</t>
  </si>
  <si>
    <t>Darrin Martin</t>
  </si>
  <si>
    <t>Dave Brooks</t>
  </si>
  <si>
    <t>Dave Hallsten</t>
  </si>
  <si>
    <t>David Bremer</t>
  </si>
  <si>
    <t>Dean Katz</t>
  </si>
  <si>
    <t>Dean percer</t>
  </si>
  <si>
    <t>Deborah Brumfield</t>
  </si>
  <si>
    <t>Deirdre Greer</t>
  </si>
  <si>
    <t>Denise Monton</t>
  </si>
  <si>
    <t>Dennis Kane</t>
  </si>
  <si>
    <t>Dennis Pardue</t>
  </si>
  <si>
    <t>Dianna Vittorini</t>
  </si>
  <si>
    <t>Dianna Wilson</t>
  </si>
  <si>
    <t>Dionis Lloyd</t>
  </si>
  <si>
    <t>Dorothy Badders</t>
  </si>
  <si>
    <t>Doug Jacobs</t>
  </si>
  <si>
    <t>Ed Braxton</t>
  </si>
  <si>
    <t>Edward Becker</t>
  </si>
  <si>
    <t>Edward Hooks</t>
  </si>
  <si>
    <t>Ellis Ballard</t>
  </si>
  <si>
    <t>Emily Ducich</t>
  </si>
  <si>
    <t>Emily Phan</t>
  </si>
  <si>
    <t>Erica Smith</t>
  </si>
  <si>
    <t>Erin Smith</t>
  </si>
  <si>
    <t>Eugene Barchas</t>
  </si>
  <si>
    <t>Eugene Hildebrand</t>
  </si>
  <si>
    <t>Eugene Moren</t>
  </si>
  <si>
    <t>Frank Atkinson</t>
  </si>
  <si>
    <t>Frank Carlisle</t>
  </si>
  <si>
    <t>Frank Hawley</t>
  </si>
  <si>
    <t>Frank Merwin</t>
  </si>
  <si>
    <t>Frank Preis</t>
  </si>
  <si>
    <t>Fred Chung</t>
  </si>
  <si>
    <t>Fred Hopkins</t>
  </si>
  <si>
    <t>Gary Hwang</t>
  </si>
  <si>
    <t>Gary McGarr</t>
  </si>
  <si>
    <t>Gary Mitchum</t>
  </si>
  <si>
    <t>Gary Zandusky</t>
  </si>
  <si>
    <t>George Ashbrook</t>
  </si>
  <si>
    <t>Giulietta Baptist</t>
  </si>
  <si>
    <t>Grace Kelly</t>
  </si>
  <si>
    <t>Grant Thornton</t>
  </si>
  <si>
    <t>Greg Matthias</t>
  </si>
  <si>
    <t>Greg Maxwell</t>
  </si>
  <si>
    <t>Greg Tran</t>
  </si>
  <si>
    <t>Harold Ryan</t>
  </si>
  <si>
    <t>Harry Marie</t>
  </si>
  <si>
    <t>Heather Kirkland</t>
  </si>
  <si>
    <t>Helen Wasserman</t>
  </si>
  <si>
    <t>Henry Goldwyn</t>
  </si>
  <si>
    <t>Hunter Glantz</t>
  </si>
  <si>
    <t>Irene Maddox</t>
  </si>
  <si>
    <t>Ivan Liston</t>
  </si>
  <si>
    <t>Jack O'Briant</t>
  </si>
  <si>
    <t>James Galang</t>
  </si>
  <si>
    <t>Jamie Kunitz</t>
  </si>
  <si>
    <t>Jane Waco</t>
  </si>
  <si>
    <t>Janet Martin</t>
  </si>
  <si>
    <t>Jeremy Lonsdale</t>
  </si>
  <si>
    <t>Jeremy Pistek</t>
  </si>
  <si>
    <t>Jill Fjeld</t>
  </si>
  <si>
    <t>Jim Epp</t>
  </si>
  <si>
    <t>Jim Karlsson</t>
  </si>
  <si>
    <t>Jim Kriz</t>
  </si>
  <si>
    <t>Joe Elijah</t>
  </si>
  <si>
    <t>Joe Kamberova</t>
  </si>
  <si>
    <t>Joel Eaton</t>
  </si>
  <si>
    <t>John Lee</t>
  </si>
  <si>
    <t>John Murray</t>
  </si>
  <si>
    <t>John Stevenson</t>
  </si>
  <si>
    <t>Jonathan Doherty</t>
  </si>
  <si>
    <t>Joseph Airdo</t>
  </si>
  <si>
    <t>Joseph Holt</t>
  </si>
  <si>
    <t>Juliana Krohn</t>
  </si>
  <si>
    <t>Julie Kriz</t>
  </si>
  <si>
    <t>Justin Deggeller</t>
  </si>
  <si>
    <t>Karen Bern</t>
  </si>
  <si>
    <t>Karen Daniels</t>
  </si>
  <si>
    <t>Karen Ferguson</t>
  </si>
  <si>
    <t>Katharine Harms</t>
  </si>
  <si>
    <t>Katherine Hughes</t>
  </si>
  <si>
    <t>Katherine Murray</t>
  </si>
  <si>
    <t>Katrina Willman</t>
  </si>
  <si>
    <t>Kean Takahito</t>
  </si>
  <si>
    <t>Kean Thornton</t>
  </si>
  <si>
    <t>Keith Dawkins</t>
  </si>
  <si>
    <t>Keith Herrera</t>
  </si>
  <si>
    <t>Kelly Collister</t>
  </si>
  <si>
    <t>Kelly Lampkin</t>
  </si>
  <si>
    <t>Ken Heidel</t>
  </si>
  <si>
    <t>Kristen Hastings</t>
  </si>
  <si>
    <t>Kunst Miller</t>
  </si>
  <si>
    <t>Laura Armstrong</t>
  </si>
  <si>
    <t>Laurel Beltran</t>
  </si>
  <si>
    <t>Lena Creighton</t>
  </si>
  <si>
    <t>Lena Radford</t>
  </si>
  <si>
    <t>Linda Cazamias</t>
  </si>
  <si>
    <t>Lindsay Castell</t>
  </si>
  <si>
    <t>Lindsay Shagiari</t>
  </si>
  <si>
    <t>Lindsay Williams</t>
  </si>
  <si>
    <t>Liz Preis</t>
  </si>
  <si>
    <t>Liz Thompson</t>
  </si>
  <si>
    <t>Luke Foster</t>
  </si>
  <si>
    <t>Luke Weiss</t>
  </si>
  <si>
    <t>Maria Etezadi</t>
  </si>
  <si>
    <t>Maribeth Dona</t>
  </si>
  <si>
    <t>Maribeth Schnelling</t>
  </si>
  <si>
    <t>Maris LaWare</t>
  </si>
  <si>
    <t>Mark Cousins</t>
  </si>
  <si>
    <t>Mark Packer</t>
  </si>
  <si>
    <t>Matt Abelman</t>
  </si>
  <si>
    <t>Matthew Grinstein</t>
  </si>
  <si>
    <t>Max Jones</t>
  </si>
  <si>
    <t>Maxwell Schwartz</t>
  </si>
  <si>
    <t>Michael Chen</t>
  </si>
  <si>
    <t>Michael Moore</t>
  </si>
  <si>
    <t>Michael Paige</t>
  </si>
  <si>
    <t>Michelle Huthwaite</t>
  </si>
  <si>
    <t>Mick Hernandez</t>
  </si>
  <si>
    <t>Mike Gockenbach</t>
  </si>
  <si>
    <t>Mike Pelletier</t>
  </si>
  <si>
    <t>Mitch Webber</t>
  </si>
  <si>
    <t>Mitch Willingham</t>
  </si>
  <si>
    <t>Muhammed Yedwab</t>
  </si>
  <si>
    <t>Naresj Patel</t>
  </si>
  <si>
    <t>Natalie DeCherney</t>
  </si>
  <si>
    <t>Natalie Fritzler</t>
  </si>
  <si>
    <t>Natalie Webber</t>
  </si>
  <si>
    <t>Nathan Mautz</t>
  </si>
  <si>
    <t>Nick Crebassa</t>
  </si>
  <si>
    <t>Noel Staavos</t>
  </si>
  <si>
    <t>Nora Paige</t>
  </si>
  <si>
    <t>Nora Preis</t>
  </si>
  <si>
    <t>Olvera Toch</t>
  </si>
  <si>
    <t>Patrick Gardner</t>
  </si>
  <si>
    <t>Patrick O'Brill</t>
  </si>
  <si>
    <t>Paul Prost</t>
  </si>
  <si>
    <t>Pauline Webber</t>
  </si>
  <si>
    <t>Penelope Sewall</t>
  </si>
  <si>
    <t>Pete Kriz</t>
  </si>
  <si>
    <t>Peter Fuller</t>
  </si>
  <si>
    <t>Peter McVee</t>
  </si>
  <si>
    <t>Philisse Overcash</t>
  </si>
  <si>
    <t>Pierre Wener</t>
  </si>
  <si>
    <t>Quincy Jones</t>
  </si>
  <si>
    <t>Randy Ferguson</t>
  </si>
  <si>
    <t>Resi Pölking</t>
  </si>
  <si>
    <t>Ricardo Sperren</t>
  </si>
  <si>
    <t>Rick Bensley</t>
  </si>
  <si>
    <t>Rick Duston</t>
  </si>
  <si>
    <t>Rick Hansen</t>
  </si>
  <si>
    <t>Rick Huthwaite</t>
  </si>
  <si>
    <t>Rick Reed</t>
  </si>
  <si>
    <t>Rick Wilson</t>
  </si>
  <si>
    <t>Rob Dowd</t>
  </si>
  <si>
    <t>Rob Lucas</t>
  </si>
  <si>
    <t>Rob Williams</t>
  </si>
  <si>
    <t>Robert Marley</t>
  </si>
  <si>
    <t>Robert Waldorf</t>
  </si>
  <si>
    <t>Roland Schwarz</t>
  </si>
  <si>
    <t>Rose O'Brian</t>
  </si>
  <si>
    <t>Ross Baird</t>
  </si>
  <si>
    <t>Ruben Ausman</t>
  </si>
  <si>
    <t>Ruben Dartt</t>
  </si>
  <si>
    <t>Russell Applegate</t>
  </si>
  <si>
    <t>Sally Hughsby</t>
  </si>
  <si>
    <t>Sam Craven</t>
  </si>
  <si>
    <t>Sam Zeldin</t>
  </si>
  <si>
    <t>Sample Company A</t>
  </si>
  <si>
    <t>Sandra Glassco</t>
  </si>
  <si>
    <t>Sanjit Jacobs</t>
  </si>
  <si>
    <t>Sara Luxemburg</t>
  </si>
  <si>
    <t>Sarah Brown</t>
  </si>
  <si>
    <t>Sarah Foster</t>
  </si>
  <si>
    <t>Scot Coram</t>
  </si>
  <si>
    <t>Scott Cohen</t>
  </si>
  <si>
    <t>Sean Braxton</t>
  </si>
  <si>
    <t>Sean Christensen</t>
  </si>
  <si>
    <t>Seth Vernon</t>
  </si>
  <si>
    <t>Shahid Collister</t>
  </si>
  <si>
    <t>Shahid Shariari</t>
  </si>
  <si>
    <t>Sharelle Roach</t>
  </si>
  <si>
    <t>Shaun Weien</t>
  </si>
  <si>
    <t>Shirley Daniels</t>
  </si>
  <si>
    <t>Speros Goranitis</t>
  </si>
  <si>
    <t>Stefania Perrino</t>
  </si>
  <si>
    <t>Steve Nguyen</t>
  </si>
  <si>
    <t>Steven Cartwright</t>
  </si>
  <si>
    <t>Steven Roelle</t>
  </si>
  <si>
    <t>Stewart Carmichael</t>
  </si>
  <si>
    <t>Stewart Visinsky</t>
  </si>
  <si>
    <t>Sue Ann Reed</t>
  </si>
  <si>
    <t>Sung Pak</t>
  </si>
  <si>
    <t>Susan Pistek</t>
  </si>
  <si>
    <t>Suzanne McNair</t>
  </si>
  <si>
    <t>Sylvia Foulston</t>
  </si>
  <si>
    <t>Tamara Manning</t>
  </si>
  <si>
    <t>Tamara Willingham</t>
  </si>
  <si>
    <t>Tanja Norvell</t>
  </si>
  <si>
    <t>Ted Trevino</t>
  </si>
  <si>
    <t>Thea Hudgings</t>
  </si>
  <si>
    <t>Theone Pippenger</t>
  </si>
  <si>
    <t>Thomas Boland</t>
  </si>
  <si>
    <t>Thomas Seio</t>
  </si>
  <si>
    <t>Toby Carlisle</t>
  </si>
  <si>
    <t>Toby Gnade</t>
  </si>
  <si>
    <t>Todd Sumrall</t>
  </si>
  <si>
    <t>Tom Boeckenhauer</t>
  </si>
  <si>
    <t>Tom Prescott</t>
  </si>
  <si>
    <t>Tonja Turnell</t>
  </si>
  <si>
    <t>Tracy Blumstein</t>
  </si>
  <si>
    <t>Tracy Hopkins</t>
  </si>
  <si>
    <t>Trudy Schmidt</t>
  </si>
  <si>
    <t>Valerie Dominguez</t>
  </si>
  <si>
    <t>Victoria Pisteka</t>
  </si>
  <si>
    <t>Victoria Wilson</t>
  </si>
  <si>
    <t>William Brown</t>
  </si>
  <si>
    <t>Yana Sorensen</t>
  </si>
  <si>
    <t>Yoseph Carroll</t>
  </si>
  <si>
    <t>Zuschuss Carroll</t>
  </si>
  <si>
    <t>Profit_Category</t>
  </si>
  <si>
    <t>"While you Were Out" Message Book, One Form per Page</t>
  </si>
  <si>
    <t>Low Profit</t>
  </si>
  <si>
    <t>#10 Gummed Flap White Envelopes, 100/Box</t>
  </si>
  <si>
    <t>#10 Self-Seal White Envelopes</t>
  </si>
  <si>
    <t>#10 White Business Envelopes,4 1/8 x 9 1/2</t>
  </si>
  <si>
    <t>Medium Profit</t>
  </si>
  <si>
    <t>#10- 4 1/8" x 9 1/2" Recycled Envelopes</t>
  </si>
  <si>
    <t>#10- 4 1/8" x 9 1/2" Security-Tint Envelopes</t>
  </si>
  <si>
    <t>#10-4 1/8" x 9 1/2" Premium Diagonal Seam Envelopes</t>
  </si>
  <si>
    <t>#6 3/4 Gummed Flap White Envelopes</t>
  </si>
  <si>
    <t>1.7 Cubic Foot Compact "Cube" Office Refrigerators</t>
  </si>
  <si>
    <t>High Profit</t>
  </si>
  <si>
    <t>1/4 Fold Party Design Invitations &amp; White Envelopes, 24 8-1/2" X 11" Cards, 25 Env./Pack</t>
  </si>
  <si>
    <t>12 Colored Short Pencils</t>
  </si>
  <si>
    <t>12-1/2 Diameter Round Wall Clock</t>
  </si>
  <si>
    <t>14-7/8 x 11 Blue Bar Computer Printout Paper</t>
  </si>
  <si>
    <t>2300 Heavy-Duty Transfer File Systems by Perma</t>
  </si>
  <si>
    <t>24 Capacity Maxi Data Binder Racks, Pearl</t>
  </si>
  <si>
    <t>24-Hour Round Wall Clock</t>
  </si>
  <si>
    <t>3-ring staple pack</t>
  </si>
  <si>
    <t>3.6 Cubic Foot Counter Height Office Refrigerator</t>
  </si>
  <si>
    <t>36X48 HARDFLOOR CHAIRMAT</t>
  </si>
  <si>
    <t>3D Systems Cube Printer, 2nd Generation, Magenta</t>
  </si>
  <si>
    <t>3D Systems Cube Printer, 2nd Generation, White</t>
  </si>
  <si>
    <t>3M Hangers With Command Adhesive</t>
  </si>
  <si>
    <t>3M Office Air Cleaner</t>
  </si>
  <si>
    <t>3M Organizer Strips</t>
  </si>
  <si>
    <t>3M Polarizing Light Filter Sleeves</t>
  </si>
  <si>
    <t>3M Polarizing Task Lamp with Clamp Arm, Light Gray</t>
  </si>
  <si>
    <t>3M Replacement Filter for Office Air Cleaner for 20' x 33' Room</t>
  </si>
  <si>
    <t>4009 Highlighters</t>
  </si>
  <si>
    <t>4009 Highlighters by Sanford</t>
  </si>
  <si>
    <t>50 Colored Long Pencils</t>
  </si>
  <si>
    <t>6" Cubicle Wall Clock, Black</t>
  </si>
  <si>
    <t>9-3/4 Diameter Round Wall Clock</t>
  </si>
  <si>
    <t>ACCOHIDE 3-Ring Binder, Blue, 1"</t>
  </si>
  <si>
    <t>ACCOHIDE Binder by Acco</t>
  </si>
  <si>
    <t>APC 7 Outlet Network SurgeArrest Surge Protector</t>
  </si>
  <si>
    <t>ARKON Windshield Dashboard Air Vent Car Mount Holder</t>
  </si>
  <si>
    <t>AT&amp;T 1070 Corded Phone</t>
  </si>
  <si>
    <t>AT&amp;T 1080 Corded phone</t>
  </si>
  <si>
    <t>AT&amp;T 1080 Phone</t>
  </si>
  <si>
    <t>AT&amp;T 17929 Lendline Telephone</t>
  </si>
  <si>
    <t>AT&amp;T 841000 Phone</t>
  </si>
  <si>
    <t>AT&amp;T CL2909</t>
  </si>
  <si>
    <t>AT&amp;T CL82213</t>
  </si>
  <si>
    <t>AT&amp;T CL83451 4-Handset Telephone</t>
  </si>
  <si>
    <t>AT&amp;T EL51110 DECT</t>
  </si>
  <si>
    <t>AT&amp;T SB67148 SynJ</t>
  </si>
  <si>
    <t>AT&amp;T TR1909W</t>
  </si>
  <si>
    <t>Aastra 57i VoIP phone</t>
  </si>
  <si>
    <t>Aastra 6757i CT Wireless VoIP phone</t>
  </si>
  <si>
    <t>Acco 3-Hole Punch</t>
  </si>
  <si>
    <t>Acco 6 Outlet Guardian Basic Surge Suppressor</t>
  </si>
  <si>
    <t>Acco 6 Outlet Guardian Premium Plus Surge Suppressor</t>
  </si>
  <si>
    <t>Acco 6 Outlet Guardian Premium Surge Suppressor</t>
  </si>
  <si>
    <t>Acco 6 Outlet Guardian Standard Surge Suppressor</t>
  </si>
  <si>
    <t>Acco 7-Outlet Masterpiece Power Center, Wihtout Fax/Phone Line Protection</t>
  </si>
  <si>
    <t>Acco Banker's Clasps, 5 3/4"-Long</t>
  </si>
  <si>
    <t>Acco Clips to Go Binder Clips, 24 Clips in Two Sizes</t>
  </si>
  <si>
    <t>Acco D-Ring Binder w/DublLock</t>
  </si>
  <si>
    <t>Acco Data Flex Cable Posts For Top &amp; Bottom Load Binders, 6" Capacity</t>
  </si>
  <si>
    <t>Acco Economy Flexible Poly Round Ring Binder</t>
  </si>
  <si>
    <t>Acco Expandable Hanging Binders</t>
  </si>
  <si>
    <t>Acco Flexible ACCOHIDE Square Ring Data Binder, Dark Blue, 11 1/2" X 14" 7/8"</t>
  </si>
  <si>
    <t>Acco Four Pocket Poly Ring Binder with Label Holder, Smoke, 1"</t>
  </si>
  <si>
    <t>Acco Glide Clips</t>
  </si>
  <si>
    <t>Acco Hanging Data Binders</t>
  </si>
  <si>
    <t>Acco Hot Clips Clips to Go</t>
  </si>
  <si>
    <t>Acco PRESSTEX Data Binder with Storage Hooks, Dark Blue, 14 7/8" X 11"</t>
  </si>
  <si>
    <t>Acco PRESSTEX Data Binder with Storage Hooks, Dark Blue, 9 1/2" X 11"</t>
  </si>
  <si>
    <t>Acco PRESSTEX Data Binder with Storage Hooks, Light Blue, 9 1/2" X 11"</t>
  </si>
  <si>
    <t>Acco Perma 2700 Stacking Storage Drawers</t>
  </si>
  <si>
    <t>Acco Perma 3000 Stacking Storage Drawers</t>
  </si>
  <si>
    <t>Acco Perma 4000 Stacking Storage Drawers</t>
  </si>
  <si>
    <t>Acco Pressboard Covers with Storage Hooks, 14 7/8" x 11", Dark Blue</t>
  </si>
  <si>
    <t>Acco Pressboard Covers with Storage Hooks, 14 7/8" x 11", Executive Red</t>
  </si>
  <si>
    <t>Acco Pressboard Covers with Storage Hooks, 14 7/8" x 11", Light Blue</t>
  </si>
  <si>
    <t>Acco Pressboard Covers with Storage Hooks, 9 1/2" x 11", Executive Red</t>
  </si>
  <si>
    <t>Acco Recycled 2" Capacity Laser Printer Hanging Data Binders</t>
  </si>
  <si>
    <t>Acco Side-Punched Conventional Columnar Pads</t>
  </si>
  <si>
    <t>Acco Six-Outlet Power Strip, 4' Cord Length</t>
  </si>
  <si>
    <t>Acco Smartsocket Color-Coded Six-Outlet AC Adapter Model Surge Protectors</t>
  </si>
  <si>
    <t>Acco Smartsocket Table Surge Protector, 6 Color-Coded Adapter Outlets</t>
  </si>
  <si>
    <t>Acco Suede Grain Vinyl Round Ring Binder</t>
  </si>
  <si>
    <t>Acco Translucent Poly Ring Binders</t>
  </si>
  <si>
    <t>Accohide Poly Flexible Ring Binders</t>
  </si>
  <si>
    <t>Acme 10" Easy Grip Assistive Scissors</t>
  </si>
  <si>
    <t>Acme Box Cutter Scissors</t>
  </si>
  <si>
    <t>Acme Design Line 8" Stainless Steel Bent Scissors w/Champagne Handles, 3-1/8" Cut</t>
  </si>
  <si>
    <t>Acme Design Stainless Steel Bent Scissors</t>
  </si>
  <si>
    <t>Acme Elite Stainless Steel Scissors</t>
  </si>
  <si>
    <t>Acme Forged Steel Scissors with Black Enamel Handles</t>
  </si>
  <si>
    <t>Acme Galleria Hot Forged Steel Scissors with Colored Handles</t>
  </si>
  <si>
    <t>Acme Hot Forged Carbon Steel Scissors with Nickel-Plated Handles, 3 7/8" Cut, 8"L</t>
  </si>
  <si>
    <t>Acme Kleen Earth Office Shears</t>
  </si>
  <si>
    <t>Acme Kleencut Forged Steel Scissors</t>
  </si>
  <si>
    <t>Acme Office Executive Series Stainless Steel Trimmers</t>
  </si>
  <si>
    <t>Acme Preferred Stainless Steel Scissors</t>
  </si>
  <si>
    <t>Acme Rosewood Handle Letter Opener</t>
  </si>
  <si>
    <t>Acme Serrated Blade Letter Opener</t>
  </si>
  <si>
    <t>Acme Softgrip Scissors</t>
  </si>
  <si>
    <t>Acme Stainless Steel Office Snips</t>
  </si>
  <si>
    <t>Acme Tagit Stainless Steel Antibacterial Scissors</t>
  </si>
  <si>
    <t>Acme Titanium Bonded Scissors</t>
  </si>
  <si>
    <t>Acme Value Line Scissors</t>
  </si>
  <si>
    <t>Acrylic Self-Standing Desk Frames</t>
  </si>
  <si>
    <t>Adams "While You Were Out" Message Pads</t>
  </si>
  <si>
    <t>Adams Phone Message Book, 200 Message Capacity, 8 1/16” x 11”</t>
  </si>
  <si>
    <t>Adams Phone Message Book, Professional, 400 Message Capacity, 5 3/6” x 11”</t>
  </si>
  <si>
    <t>Adams Telephone Message Book W/Dividers/Space For Phone Numbers, 5 1/4"X8 1/2", 200/Messages</t>
  </si>
  <si>
    <t>Adams Telephone Message Book W/Dividers/Space For Phone Numbers, 5 1/4"X8 1/2", 300/Messages</t>
  </si>
  <si>
    <t>Adams Telephone Message Book w/Frequently-Called Numbers Space, 400 Messages per Book</t>
  </si>
  <si>
    <t>Adams Telephone Message Books, 5 1/4” x 11”</t>
  </si>
  <si>
    <t>Adams Write n' Stick Phone Message Book, 11" X 5 1/4", 200 Messages</t>
  </si>
  <si>
    <t>Adjustable Depth Letter/Legal Cart</t>
  </si>
  <si>
    <t>Adjustable Personal File Tote</t>
  </si>
  <si>
    <t>Adtran 1202752G1</t>
  </si>
  <si>
    <t>Advantus 10-Drawer Portable Organizer, Chrome Metal Frame, Smoke Drawers</t>
  </si>
  <si>
    <t>Advantus Employee of the Month Certificate Frame, 11 x 13-1/2</t>
  </si>
  <si>
    <t>Advantus Map Pennant Flags and Round Head Tacks</t>
  </si>
  <si>
    <t>Advantus Motivational Note Cards</t>
  </si>
  <si>
    <t>Advantus Panel Wall Acrylic Frame</t>
  </si>
  <si>
    <t>Advantus Panel Wall Certificate Holder - 8.5x11</t>
  </si>
  <si>
    <t>Advantus Plastic Paper Clips</t>
  </si>
  <si>
    <t>Advantus Push Pins</t>
  </si>
  <si>
    <t>Advantus Push Pins, Aluminum Head</t>
  </si>
  <si>
    <t>Advantus Rolling Drawer Organizers</t>
  </si>
  <si>
    <t>Advantus Rolling Storage Box</t>
  </si>
  <si>
    <t>Advantus SlideClip Paper Clips</t>
  </si>
  <si>
    <t>Advantus T-Pin Paper Clips</t>
  </si>
  <si>
    <t>Airmail Envelopes</t>
  </si>
  <si>
    <t>Akro Stacking Bins</t>
  </si>
  <si>
    <t>Akro-Mils 12-Gallon Tote</t>
  </si>
  <si>
    <t>Alliance Big Bands Rubber Bands, 12/Pack</t>
  </si>
  <si>
    <t>Alliance Rubber Bands</t>
  </si>
  <si>
    <t>Alliance Super-Size Bands, Assorted Sizes</t>
  </si>
  <si>
    <t>Alphabetical Labels for Top Tab Filing</t>
  </si>
  <si>
    <t>Aluminum Document Frame</t>
  </si>
  <si>
    <t>Aluminum Screw Posts</t>
  </si>
  <si>
    <t>AmazonBasics 3-Button USB Wired Mouse</t>
  </si>
  <si>
    <t>American Pencil</t>
  </si>
  <si>
    <t>Ames Color-File Green Diamond Border X-ray Mailers</t>
  </si>
  <si>
    <t>Ampad #10 Peel &amp; Seel Holiday Envelopes</t>
  </si>
  <si>
    <t>Ampad Evidence Wirebond Steno Books, 6" x 9"</t>
  </si>
  <si>
    <t>Ampad Gold Fibre Wirebound Steno Books, 6" x 9", Gregg Ruled</t>
  </si>
  <si>
    <t>Ampad Phone Message Book, Recycled, 400 Message Capacity, 5 ¾” x 11”</t>
  </si>
  <si>
    <t>Ampad Poly Cover Wirebound Steno Book, 6" x 9" Assorted Colors, Gregg Ruled</t>
  </si>
  <si>
    <t>Anderson Hickey Conga Table Tops &amp; Accessories</t>
  </si>
  <si>
    <t>Angle-D Binders with Locking Rings, Label Holders</t>
  </si>
  <si>
    <t>Angle-D Ring Binders</t>
  </si>
  <si>
    <t>Anker 24W Portable Micro USB Car Charger</t>
  </si>
  <si>
    <t>Anker 36W 4-Port USB Wall Charger Travel Power Adapter for iPhone 5s 5c 5</t>
  </si>
  <si>
    <t>Anker Astro 15000mAh USB Portable Charger</t>
  </si>
  <si>
    <t>Anker Astro Mini 3000mAh Ultra-Compact Portable Charger</t>
  </si>
  <si>
    <t>Anker Ultra-Slim Mini Bluetooth 3.0 Wireless Keyboard</t>
  </si>
  <si>
    <t xml:space="preserve">Anker Ultrathin Bluetooth Wireless Keyboard Aluminum Cover with Stand </t>
  </si>
  <si>
    <t>Apple EarPods with Remote and Mic</t>
  </si>
  <si>
    <t>Apple iPhone 5</t>
  </si>
  <si>
    <t>Apple iPhone 5C</t>
  </si>
  <si>
    <t>Apple iPhone 5S</t>
  </si>
  <si>
    <t>Array Memo Cubes</t>
  </si>
  <si>
    <t>Array Parchment Paper, Assorted Colors</t>
  </si>
  <si>
    <t>Artistic Insta-Plaque</t>
  </si>
  <si>
    <t>Assorted Color Push Pins</t>
  </si>
  <si>
    <t>Astroparche Fine Business Paper</t>
  </si>
  <si>
    <t>Ativa D5772 2-Line 5.8GHz Digital Expandable Corded/Cordless Phone System with Answering &amp; Caller ID/Call Waiting, Black/Silver</t>
  </si>
  <si>
    <t>Ativa MDM8000 8-Sheet Micro-Cut Shredder</t>
  </si>
  <si>
    <t>Ativa V4110MDD Micro-Cut Shredder</t>
  </si>
  <si>
    <t>Atlantic Metals Mobile 2-Shelf Bookcases, Custom Colors</t>
  </si>
  <si>
    <t>Atlantic Metals Mobile 3-Shelf Bookcases, Custom Colors</t>
  </si>
  <si>
    <t>Atlantic Metals Mobile 4-Shelf Bookcases, Custom Colors</t>
  </si>
  <si>
    <t>Atlantic Metals Mobile 5-Shelf Bookcases, Custom Colors</t>
  </si>
  <si>
    <t>Avanti 1.7 Cu. Ft. Refrigerator</t>
  </si>
  <si>
    <t>Avanti 4.4 Cu. Ft. Refrigerator</t>
  </si>
  <si>
    <t>Avaya 4621SW VoIP phone</t>
  </si>
  <si>
    <t>Avaya 5410 Digital phone</t>
  </si>
  <si>
    <t>Avaya 5420 Digital phone</t>
  </si>
  <si>
    <t>Avaya IP Phone 1140E VoIP phone</t>
  </si>
  <si>
    <t>Avery 05222 Permanent Self-Adhesive File Folder Labels for Typewriters, on Rolls, White, 250/Roll</t>
  </si>
  <si>
    <t>Avery 3 1/2" Diskette Storage Pages, 10/Pack</t>
  </si>
  <si>
    <t>Avery 4027 File Folder Labels for Dot Matrix Printers, 5000 Labels per Box, White</t>
  </si>
  <si>
    <t>Avery 473</t>
  </si>
  <si>
    <t>Avery 474</t>
  </si>
  <si>
    <t>Avery 475</t>
  </si>
  <si>
    <t>Avery 476</t>
  </si>
  <si>
    <t>Avery 477</t>
  </si>
  <si>
    <t>Avery 478</t>
  </si>
  <si>
    <t>Avery 479</t>
  </si>
  <si>
    <t>Avery 48</t>
  </si>
  <si>
    <t>Avery 480</t>
  </si>
  <si>
    <t>Avery 481</t>
  </si>
  <si>
    <t>Avery 482</t>
  </si>
  <si>
    <t>Avery 483</t>
  </si>
  <si>
    <t>Avery 484</t>
  </si>
  <si>
    <t>Avery 485</t>
  </si>
  <si>
    <t>Avery 486</t>
  </si>
  <si>
    <t>Avery 487</t>
  </si>
  <si>
    <t>Avery 488</t>
  </si>
  <si>
    <t>Avery 489</t>
  </si>
  <si>
    <t>Avery 49</t>
  </si>
  <si>
    <t>Avery 490</t>
  </si>
  <si>
    <t>Avery 491</t>
  </si>
  <si>
    <t>Avery 492</t>
  </si>
  <si>
    <t>Avery 493</t>
  </si>
  <si>
    <t>Avery 494</t>
  </si>
  <si>
    <t>Avery 495</t>
  </si>
  <si>
    <t>Avery 496</t>
  </si>
  <si>
    <t>Avery 497</t>
  </si>
  <si>
    <t>Avery 498</t>
  </si>
  <si>
    <t>Avery 499</t>
  </si>
  <si>
    <t>Avery 5</t>
  </si>
  <si>
    <t>Avery 50</t>
  </si>
  <si>
    <t>Avery 500</t>
  </si>
  <si>
    <t>Avery 501</t>
  </si>
  <si>
    <t>Avery 502</t>
  </si>
  <si>
    <t>Avery 503</t>
  </si>
  <si>
    <t>Avery 505</t>
  </si>
  <si>
    <t>Avery 506</t>
  </si>
  <si>
    <t>Avery 507</t>
  </si>
  <si>
    <t>Avery 508</t>
  </si>
  <si>
    <t>Avery 509</t>
  </si>
  <si>
    <t>Avery 51</t>
  </si>
  <si>
    <t>Avery 510</t>
  </si>
  <si>
    <t>Avery 511</t>
  </si>
  <si>
    <t>Avery 512</t>
  </si>
  <si>
    <t>Avery 513</t>
  </si>
  <si>
    <t>Avery 514</t>
  </si>
  <si>
    <t>Avery 515</t>
  </si>
  <si>
    <t>Avery 516</t>
  </si>
  <si>
    <t>Avery 517</t>
  </si>
  <si>
    <t>Avery 518</t>
  </si>
  <si>
    <t>Avery 519</t>
  </si>
  <si>
    <t>Avery 52</t>
  </si>
  <si>
    <t>Avery 520</t>
  </si>
  <si>
    <t>Avery Address/Shipping Labels for Typewriters, 4" x 2"</t>
  </si>
  <si>
    <t>Avery Arch Ring Binders</t>
  </si>
  <si>
    <t>Avery Binder Labels</t>
  </si>
  <si>
    <t>Avery Binding System Hidden Tab Executive Style Index Sets</t>
  </si>
  <si>
    <t>Avery Durable Binders</t>
  </si>
  <si>
    <t>Avery Durable Plastic 1" Binders</t>
  </si>
  <si>
    <t>Avery Durable Poly Binders</t>
  </si>
  <si>
    <t>Avery Durable Slant Ring Binders</t>
  </si>
  <si>
    <t>Avery Durable Slant Ring Binders With Label Holder</t>
  </si>
  <si>
    <t>Avery Durable Slant Ring Binders, No Labels</t>
  </si>
  <si>
    <t>Avery File Folder Labels</t>
  </si>
  <si>
    <t>Avery Flip-Chart Easel Binder, Black</t>
  </si>
  <si>
    <t>Avery Fluorescent Highlighter Four-Color Set</t>
  </si>
  <si>
    <t>Avery Framed View Binder, EZD Ring (Locking), Navy, 1 1/2"</t>
  </si>
  <si>
    <t>Avery Hanging File Binders</t>
  </si>
  <si>
    <t>Avery Heavy-Duty EZD  Binder With Locking Rings</t>
  </si>
  <si>
    <t>Avery Heavy-Duty EZD View Binder with Locking Rings</t>
  </si>
  <si>
    <t>Avery Hi-Liter Comfort Grip Fluorescent Highlighter, Yellow Ink</t>
  </si>
  <si>
    <t>Avery Hi-Liter EverBold Pen Style Fluorescent Highlighters, 4/Pack</t>
  </si>
  <si>
    <t>Avery Hi-Liter Fluorescent Desk Style Markers</t>
  </si>
  <si>
    <t>Avery Hi-Liter GlideStik Fluorescent Highlighter, Yellow Ink</t>
  </si>
  <si>
    <t>Avery Hi-Liter Pen Style Six-Color Fluorescent Set</t>
  </si>
  <si>
    <t>Avery Hi-Liter Smear-Safe Highlighters</t>
  </si>
  <si>
    <t>Avery Hidden Tab Dividers for Binding Systems</t>
  </si>
  <si>
    <t>Avery Hole Reinforcements</t>
  </si>
  <si>
    <t>Avery Legal 4-Ring Binder</t>
  </si>
  <si>
    <t>Avery Metallic Poly Binders</t>
  </si>
  <si>
    <t>Avery Non-Stick Binders</t>
  </si>
  <si>
    <t>Avery Non-Stick Heavy Duty View Round Locking Ring Binders</t>
  </si>
  <si>
    <t>Avery Personal Creations Heavyweight Cards</t>
  </si>
  <si>
    <t>Avery Poly Binder Pockets</t>
  </si>
  <si>
    <t>Avery Premier Heavy-Duty Binder with Round Locking Rings</t>
  </si>
  <si>
    <t>Avery Printable Repositionable Plastic Tabs</t>
  </si>
  <si>
    <t>Avery Recycled Flexi-View Covers for Binding Systems</t>
  </si>
  <si>
    <t>Avery Reinforcements for Hole-Punch Pages</t>
  </si>
  <si>
    <t>Avery Round Ring Poly Binders</t>
  </si>
  <si>
    <t>Avery Self-Adhesive Photo Pockets for Polaroid Photos</t>
  </si>
  <si>
    <t>Avery Trapezoid Extra Heavy Duty 4" Binders</t>
  </si>
  <si>
    <t>Avery Trapezoid Ring Binder, 3" Capacity, Black, 1040 sheets</t>
  </si>
  <si>
    <t>Avery Triangle Shaped Sheet Lifters, Black, 2/Pack</t>
  </si>
  <si>
    <t>Avery White Multi-Purpose Labels</t>
  </si>
  <si>
    <t>Avoid Verbal Orders Carbonless Minifold Book</t>
  </si>
  <si>
    <t>BIC Brite Liner Grip Highlighters</t>
  </si>
  <si>
    <t>BIC Brite Liner Grip Highlighters, Assorted, 5/Pack</t>
  </si>
  <si>
    <t>BIC Brite Liner Highlighters</t>
  </si>
  <si>
    <t>BIC Brite Liner Highlighters, Chisel Tip</t>
  </si>
  <si>
    <t>BIC Liqua Brite Liner</t>
  </si>
  <si>
    <t>BOSTON Model 1800 Electric Pencil Sharpeners, Putty/Woodgrain</t>
  </si>
  <si>
    <t>BOSTON Ranger #55 Pencil Sharpener, Black</t>
  </si>
  <si>
    <t>BPI Conference Tables</t>
  </si>
  <si>
    <t>Bady BDG101FRU Card Printer</t>
  </si>
  <si>
    <t>Bagged Rubber Bands</t>
  </si>
  <si>
    <t>Balt Solid Wood Rectangular Table</t>
  </si>
  <si>
    <t>Balt Split Level Computer Training Table</t>
  </si>
  <si>
    <t>Barrel Sharpener</t>
  </si>
  <si>
    <t>Barricks 18" x 48" Non-Folding Utility Table with Bottom Storage Shelf</t>
  </si>
  <si>
    <t>Barricks Non-Folding Utility Table with Steel Legs, Laminate Tops</t>
  </si>
  <si>
    <t>Belkin 19" Center-Weighted Shelf, Gray</t>
  </si>
  <si>
    <t>Belkin 19" Vented Equipment Shelf, Black</t>
  </si>
  <si>
    <t>Belkin 325VA UPS Surge Protector, 6'</t>
  </si>
  <si>
    <t>Belkin 5 Outlet SurgeMaster Power Centers</t>
  </si>
  <si>
    <t>Belkin 6 Outlet Metallic Surge Strip</t>
  </si>
  <si>
    <t>Belkin 7 Outlet SurgeMaster II</t>
  </si>
  <si>
    <t>Belkin 7 Outlet SurgeMaster Surge Protector with Phone Protection</t>
  </si>
  <si>
    <t>Belkin 7-Outlet SurgeMaster Home Series</t>
  </si>
  <si>
    <t>Belkin 8 Outlet Surge Protector</t>
  </si>
  <si>
    <t>Belkin 8 Outlet SurgeMaster II Gold Surge Protector</t>
  </si>
  <si>
    <t>Belkin 8 Outlet SurgeMaster II Gold Surge Protector with Phone Protection</t>
  </si>
  <si>
    <t>Belkin 8-Outlet Premiere SurgeMaster II Surge Protectors</t>
  </si>
  <si>
    <t>Belkin F5C206VTEL 6 Outlet Surge</t>
  </si>
  <si>
    <t>Belkin F8E887 USB Wired Ergonomic Keyboard</t>
  </si>
  <si>
    <t>Belkin F9G930V10-GRY 9 Outlet Surge</t>
  </si>
  <si>
    <t>Belkin F9H710-06 7 Outlet SurgeMaster Surge Protector</t>
  </si>
  <si>
    <t>Belkin F9M820V08 8 Outlet Surge</t>
  </si>
  <si>
    <t>Belkin F9S820V06 8 Outlet Surge</t>
  </si>
  <si>
    <t>Belkin Grip Candy Sheer Case / Cover for iPhone 5 and 5S</t>
  </si>
  <si>
    <t>Belkin OmniView SE Rackmount Kit</t>
  </si>
  <si>
    <t>Belkin Premiere Surge Master II 8-outlet surge protector</t>
  </si>
  <si>
    <t>Belkin QODE FastFit Bluetooth Keyboard</t>
  </si>
  <si>
    <t>Belkin SportFit Armband For iPhone 5s/5c, Fuchsia</t>
  </si>
  <si>
    <t>Belkin Standard 104 key USB Keyboard</t>
  </si>
  <si>
    <t>Belkin iPhone and iPad Lightning Cable</t>
  </si>
  <si>
    <t>Berol Giant Pencil Sharpener</t>
  </si>
  <si>
    <t>Bestar Classic Bookcase</t>
  </si>
  <si>
    <t>Bevis 36 x 72 Conference Tables</t>
  </si>
  <si>
    <t>Bevis 44 x 96 Conference Tables</t>
  </si>
  <si>
    <t>Bevis Boat-Shaped Conference Table</t>
  </si>
  <si>
    <t>Bevis Oval Conference Table, Walnut</t>
  </si>
  <si>
    <t>Bevis Rectangular Conference Tables</t>
  </si>
  <si>
    <t>Bevis Round Bullnose 29" High Table Top</t>
  </si>
  <si>
    <t>Bevis Round Conference Room Tables and Bases</t>
  </si>
  <si>
    <t>Bevis Round Conference Table Top &amp; Single Column Base</t>
  </si>
  <si>
    <t>Bevis Round Conference Table Top, X-Base</t>
  </si>
  <si>
    <t>Bevis Steel Folding Chairs</t>
  </si>
  <si>
    <t>Bevis Traditional Conference Table Top, Plinth Base</t>
  </si>
  <si>
    <t>Binder Clips by OIC</t>
  </si>
  <si>
    <t>Binder Posts</t>
  </si>
  <si>
    <t>Binding Machine Supplies</t>
  </si>
  <si>
    <t>Binney &amp; Smith Crayola Metallic Colored Pencils, 8-Color Set</t>
  </si>
  <si>
    <t>Binney &amp; Smith Crayola Metallic Crayons, 16-Color Pack</t>
  </si>
  <si>
    <t>Binney &amp; Smith inkTank Desk Highlighter, Chisel Tip, Yellow, 12/Box</t>
  </si>
  <si>
    <t>Binney &amp; Smith inkTank Erasable Desk Highlighter, Chisel Tip, Yellow, 12/Box</t>
  </si>
  <si>
    <t>Binney &amp; Smith inkTank Erasable Pocket Highlighter, Chisel Tip, Yellow</t>
  </si>
  <si>
    <t>Bionaire 99.97% HEPA Air Cleaner</t>
  </si>
  <si>
    <t>Bionaire Personal Warm Mist Humidifier/Vaporizer</t>
  </si>
  <si>
    <t>Black &amp; Decker Filter for Double Action Dustbuster Cordless Vac BLDV7210</t>
  </si>
  <si>
    <t>Black Avery Memo-Size 3-Ring Binder, 5 1/2" x 8 1/2"</t>
  </si>
  <si>
    <t>Black Print Carbonless 8 1/2" x 8 1/4" Rapid Memo Book</t>
  </si>
  <si>
    <t>Black Print Carbonless Snap-Off Rapid Letter, 8 1/2" x 7"</t>
  </si>
  <si>
    <t>BlackBerry Q10</t>
  </si>
  <si>
    <t>Blackstonian Pencils</t>
  </si>
  <si>
    <t>Blue Parrot B250XT Professional Grade Wireless Bluetooth Headset with</t>
  </si>
  <si>
    <t>Blue String-Tie &amp; Button Interoffice Envelopes, 10 x 13</t>
  </si>
  <si>
    <t>BlueLounge Milo Smartphone Stand, White/Metallic</t>
  </si>
  <si>
    <t>Bose SoundLink Bluetooth Speaker</t>
  </si>
  <si>
    <t>Boston 1645 Deluxe Heavier-Duty Electric Pencil Sharpener</t>
  </si>
  <si>
    <t>Boston 16701 Slimline Battery Pencil Sharpener</t>
  </si>
  <si>
    <t>Boston 16750 Black Compact Battery Pencil Sharpener</t>
  </si>
  <si>
    <t>Boston 16765 Mini Stand Up Battery Pencil Sharpener</t>
  </si>
  <si>
    <t>Boston 16801 Nautilus Battery Pencil Sharpener</t>
  </si>
  <si>
    <t>Boston 1730 StandUp Electric Pencil Sharpener</t>
  </si>
  <si>
    <t>Boston 1799 Powerhouse Electric Pencil Sharpener</t>
  </si>
  <si>
    <t>Boston 1827 Commercial Additional Cutter, Drive Gear &amp; Gear Rack for 1606</t>
  </si>
  <si>
    <t>Boston 1900 Electric Pencil Sharpener</t>
  </si>
  <si>
    <t>Boston 19500 Mighty Mite Electric Pencil Sharpener</t>
  </si>
  <si>
    <t>Boston Electric Pencil Sharpener, Model 1818, Charcoal Black</t>
  </si>
  <si>
    <t>Boston Heavy-Duty Trimline Electric Pencil Sharpeners</t>
  </si>
  <si>
    <t>Boston Home &amp; Office Model 2000 Electric Pencil Sharpeners</t>
  </si>
  <si>
    <t>Boston KS Multi-Size Manual Pencil Sharpener</t>
  </si>
  <si>
    <t>Boston Model 1800 Electric Pencil Sharpener, Gray</t>
  </si>
  <si>
    <t>Boston School Pro Electric Pencil Sharpener, 1670</t>
  </si>
  <si>
    <t>Bravo II Megaboss 12-Amp Hard Body Upright, Replacement Belts, 2 Belts per Pack</t>
  </si>
  <si>
    <t>Bretford CR4500 Series Slim Rectangular Table</t>
  </si>
  <si>
    <t>Bretford CR8500 Series Meeting Room Furniture</t>
  </si>
  <si>
    <t>Bretford Rectangular Conference Table Tops</t>
  </si>
  <si>
    <t>Bretford “Just In Time” Height-Adjustable Multi-Task Work Tables</t>
  </si>
  <si>
    <t>Brites Rubber Bands, 1 1/2 oz. Box</t>
  </si>
  <si>
    <t>Brother DCP1000 Digital 3 in 1 Multifunction Machine</t>
  </si>
  <si>
    <t>Brother MFC-9340CDW LED All-In-One Printer, Copier Scanner</t>
  </si>
  <si>
    <t>Brown Kraft Recycled Envelopes</t>
  </si>
  <si>
    <t>Bulldog Table or Wall-Mount Pencil Sharpener</t>
  </si>
  <si>
    <t>Bulldog Vacuum Base Pencil Sharpener</t>
  </si>
  <si>
    <t>Bush Advantage Collection Round Conference Table</t>
  </si>
  <si>
    <t>Bush Andora Bookcase, Maple/Graphite Gray Finish</t>
  </si>
  <si>
    <t>Bush Andora Conference Table, Maple/Graphite Gray Finish</t>
  </si>
  <si>
    <t>Bush Birmingham Collection Bookcase, Dark Cherry</t>
  </si>
  <si>
    <t>Bush Cubix Collection Bookcases, Fully Assembled</t>
  </si>
  <si>
    <t>Bush Cubix Conference Tables, Fully Assembled</t>
  </si>
  <si>
    <t>Bush Heritage Pine Collection 5-Shelf Bookcase, Albany Pine Finish, *Special Order</t>
  </si>
  <si>
    <t>Bush Mission Pointe Library</t>
  </si>
  <si>
    <t>Bush Saratoga Collection 5-Shelf Bookcase, Hanover Cherry, *Special Order</t>
  </si>
  <si>
    <t>Bush Somerset Collection Bookcase</t>
  </si>
  <si>
    <t>Bush Westfield Collection Bookcases, Dark Cherry Finish</t>
  </si>
  <si>
    <t>Bush Westfield Collection Bookcases, Dark Cherry Finish, Fully Assembled</t>
  </si>
  <si>
    <t>Bush Westfield Collection Bookcases, Fully Assembled</t>
  </si>
  <si>
    <t>Bush Westfield Collection Bookcases, Medium Cherry Finish</t>
  </si>
  <si>
    <t>C-Line Cubicle Keepers Polyproplyene Holder With Velcro Backings</t>
  </si>
  <si>
    <t>C-Line Cubicle Keepers Polyproplyene Holder w/Velcro Back, 8-1/2x11, 25/Bx</t>
  </si>
  <si>
    <t>C-Line Magnetic Cubicle Keepers, Clear Polypropylene</t>
  </si>
  <si>
    <t>C-Line Peel &amp; Stick Add-On Filing Pockets, 8-3/4 x 5-1/8, 10/Pack</t>
  </si>
  <si>
    <t>Cameo Buff Policy Envelopes</t>
  </si>
  <si>
    <t>Canon Color ImageCLASS MF8580Cdw Wireless Laser All-In-One Printer, Copier, Scanner</t>
  </si>
  <si>
    <t>Canon Image Class D660 Copier</t>
  </si>
  <si>
    <t>Canon Imageclass D680 Copier / Fax</t>
  </si>
  <si>
    <t>Canon PC-428 Personal Copier</t>
  </si>
  <si>
    <t>Canon PC1060 Personal Laser Copier</t>
  </si>
  <si>
    <t>Canon PC1080F Personal Copier</t>
  </si>
  <si>
    <t>Canon PC170 Desktop Personal Copier</t>
  </si>
  <si>
    <t>Canon PC940 Copier</t>
  </si>
  <si>
    <t>Canon imageCLASS MF7460 Monochrome Digital Laser Multifunction Copier</t>
  </si>
  <si>
    <t>Canvas Sectional Post Binders</t>
  </si>
  <si>
    <t>Cardinal EasyOpen D-Ring Binders</t>
  </si>
  <si>
    <t>Cardinal HOLDit! Binder Insert Strips,Extra Strips</t>
  </si>
  <si>
    <t>Cardinal Hold-It CD Pocket</t>
  </si>
  <si>
    <t>Cardinal Holdit Business Card Pockets</t>
  </si>
  <si>
    <t>Cardinal Holdit Data Disk Pockets</t>
  </si>
  <si>
    <t>Cardinal Poly Pocket Divider Pockets for Ring Binders</t>
  </si>
  <si>
    <t>Cardinal Slant-D Ring Binder, Heavy Gauge Vinyl</t>
  </si>
  <si>
    <t>Cardinal Slant-D Ring Binders</t>
  </si>
  <si>
    <t>Career Cubicle Clock, 8 1/4", Black</t>
  </si>
  <si>
    <t>Carina 42"Hx23 3/4"W Media Storage Unit</t>
  </si>
  <si>
    <t>Carina Double Wide Media Storage Towers in Natural &amp; Black</t>
  </si>
  <si>
    <t>Carina Media Storage Towers in Natural &amp; Black</t>
  </si>
  <si>
    <t>Carina Mini System Audio Rack, Model AR050B</t>
  </si>
  <si>
    <t>Case Logic 2.4GHz Wireless Keyboard</t>
  </si>
  <si>
    <t>Catalog Binders with Expanding Posts</t>
  </si>
  <si>
    <t>Cherry 142-key Programmable Keyboard</t>
  </si>
  <si>
    <t>Chromcraft 48" x 96" Racetrack Double Pedestal Table</t>
  </si>
  <si>
    <t>Chromcraft Bull-Nose Wood 48" x 96" Rectangular Conference Tables</t>
  </si>
  <si>
    <t>Chromcraft Bull-Nose Wood Round Conference Table Top, Wood Base</t>
  </si>
  <si>
    <t>Chromcraft Rectangular Conference Tables</t>
  </si>
  <si>
    <t>Chromcraft Round Conference Tables</t>
  </si>
  <si>
    <t>Cisco 8961 IP Phone Charcoal</t>
  </si>
  <si>
    <t>Cisco 8x8 Inc. 6753i IP Business Phone System</t>
  </si>
  <si>
    <t>Cisco 9971 IP Video Phone Charcoal</t>
  </si>
  <si>
    <t>Cisco CP-7937G Unified IP Conference Station Phone</t>
  </si>
  <si>
    <t>Cisco Desktop Collaboration Experience DX650 IP Video Phone</t>
  </si>
  <si>
    <t>Cisco IP Phone 7961G-GE VoIP phone</t>
  </si>
  <si>
    <t>Cisco IP Phone 7961G VoIP phone - Dark gray</t>
  </si>
  <si>
    <t>Cisco SPA 501G IP Phone</t>
  </si>
  <si>
    <t>Cisco SPA 502G IP Phone</t>
  </si>
  <si>
    <t>Cisco SPA112 2 Port Phone Adapter</t>
  </si>
  <si>
    <t>Cisco SPA301</t>
  </si>
  <si>
    <t>Cisco SPA508G</t>
  </si>
  <si>
    <t>Cisco SPA525G2 5-Line IP Phone</t>
  </si>
  <si>
    <t>Cisco SPA525G2 IP Phone - Wireless</t>
  </si>
  <si>
    <t>Cisco Small Business SPA 502G VoIP phone</t>
  </si>
  <si>
    <t>Cisco Unified IP Phone 7945G VoIP phone</t>
  </si>
  <si>
    <t>Clarity 53712</t>
  </si>
  <si>
    <t>Classic Ivory Antique Telephone ZL1810</t>
  </si>
  <si>
    <t>Clear Mylar Reinforcing Strips</t>
  </si>
  <si>
    <t>ClearOne CHATAttach 160 - speaker phone</t>
  </si>
  <si>
    <t>ClearOne Communications CHAT 70 OC Speaker Phone</t>
  </si>
  <si>
    <t>ClearSounds CSC500 Amplified Spirit Phone Corded phone</t>
  </si>
  <si>
    <t>Clearsounds A400</t>
  </si>
  <si>
    <t>Col-Erase Pencils with Erasers</t>
  </si>
  <si>
    <t>Color-Coded Legal Exhibit Labels</t>
  </si>
  <si>
    <t>Colored Envelopes</t>
  </si>
  <si>
    <t>Colored Push Pins</t>
  </si>
  <si>
    <t>Coloredge Poster Frame</t>
  </si>
  <si>
    <t>Colorific Watercolor Pencils</t>
  </si>
  <si>
    <t>Commercial WindTunnel Clean Air Upright Vacuum, Replacement Belts, Filtration Bags</t>
  </si>
  <si>
    <t>Compact Automatic Electric Letter Opener</t>
  </si>
  <si>
    <t>Companion Letter/Legal File, Black</t>
  </si>
  <si>
    <t>Computer Printout Index Tabs</t>
  </si>
  <si>
    <t>Computer Printout Paper with Letter-Trim Fine Perforations</t>
  </si>
  <si>
    <t>Computer Printout Paper with Letter-Trim Perforations</t>
  </si>
  <si>
    <t>Computer Room Manger, 14"</t>
  </si>
  <si>
    <t>Conquest 14 Commercial Heavy-Duty Upright Vacuum, Collection System, Accessory Kit</t>
  </si>
  <si>
    <t>Contemporary Borderless Frame</t>
  </si>
  <si>
    <t>Contemporary Wood/Metal Frame</t>
  </si>
  <si>
    <t>Contico 72"H Heavy-Duty Storage System</t>
  </si>
  <si>
    <t>Contract Clock, 14", Brown</t>
  </si>
  <si>
    <t>Convenience Packs of Business Envelopes</t>
  </si>
  <si>
    <t>Crate-A-Files</t>
  </si>
  <si>
    <t>Crayola Anti Dust Chalk, 12/Pack</t>
  </si>
  <si>
    <t>Crayola Colored Pencils</t>
  </si>
  <si>
    <t>Cush Cases Heavy Duty Rugged Cover Case for Samsung Galaxy S5 - Purple</t>
  </si>
  <si>
    <t>Cyber Acoustics AC-202b Speech Recognition Stereo Headset</t>
  </si>
  <si>
    <t>DAX Black Cherry Wood-Tone Poster Frame</t>
  </si>
  <si>
    <t>DAX Charcoal/Nickel-Tone Document Frame, 5 x 7</t>
  </si>
  <si>
    <t>DAX Clear Channel Poster Frame</t>
  </si>
  <si>
    <t>DAX Contemporary Wood Frame with Silver Metal Mat, Desktop, 11 x 14 Size</t>
  </si>
  <si>
    <t>DAX Copper Panel Document Frame, 5 x 7 Size</t>
  </si>
  <si>
    <t>DAX Cubicle Frames - 8x10</t>
  </si>
  <si>
    <t>DAX Cubicle Frames, 8-1/2 x 11</t>
  </si>
  <si>
    <t>DAX Executive Solid Wood Document Frame, Desktop or Hang, Mahogany, 5 x 7</t>
  </si>
  <si>
    <t>DAX Metal Frame, Desktop, Stepped-Edge</t>
  </si>
  <si>
    <t>DAX Natural Wood-Tone Poster Frame</t>
  </si>
  <si>
    <t>DAX Solid Wood Frames</t>
  </si>
  <si>
    <t>DAX Two-Tone Rosewood/Black Document Frame, Desktop, 5 x 7</t>
  </si>
  <si>
    <t>DAX Two-Tone Silver Metal Document Frame</t>
  </si>
  <si>
    <t>DAX Value U-Channel Document Frames, Easel Back</t>
  </si>
  <si>
    <t>DAX Wood Document Frame</t>
  </si>
  <si>
    <t>DAX Wood Document Frame.</t>
  </si>
  <si>
    <t>DIXON Oriole Pencils</t>
  </si>
  <si>
    <t>DIXON Ticonderoga Erasable Checking Pencils</t>
  </si>
  <si>
    <t>DMI Arturo Collection Mission-style Design Wood Chair</t>
  </si>
  <si>
    <t>DMI Eclipse Executive Suite Bookcases</t>
  </si>
  <si>
    <t>DXL Angle-View Binders with Locking Rings by Samsill</t>
  </si>
  <si>
    <t>DXL Angle-View Binders with Locking Rings, Black</t>
  </si>
  <si>
    <t>DYMO CardScan Personal V9 Business Card Scanner</t>
  </si>
  <si>
    <t>Dana Fluorescent Magnifying Lamp, White, 36"</t>
  </si>
  <si>
    <t>Dana Halogen Swing-Arm Architect Lamp</t>
  </si>
  <si>
    <t>Dana Swing-Arm Lamps</t>
  </si>
  <si>
    <t>DataProducts Ampli Magnifier Task Lamp, Black,</t>
  </si>
  <si>
    <t>Dax Clear Box Frame</t>
  </si>
  <si>
    <t>Decoflex Hanging Personal Folder File</t>
  </si>
  <si>
    <t>Decoflex Hanging Personal Folder File, Blue</t>
  </si>
  <si>
    <t>Deflect-O Glasstique Clear Desk Accessories</t>
  </si>
  <si>
    <t>Deflect-o DuraMat Antistatic Studded Beveled Mat for Medium Pile Carpeting</t>
  </si>
  <si>
    <t>Deflect-o DuraMat Lighweight, Studded, Beveled Mat for Low Pile Carpeting</t>
  </si>
  <si>
    <t>Deflect-o EconoMat Nonstudded, No Bevel Mat</t>
  </si>
  <si>
    <t>Deflect-o EconoMat Studded, No Bevel Mat for Low Pile Carpeting</t>
  </si>
  <si>
    <t>Deflect-o Glass Clear Studded Chair Mats</t>
  </si>
  <si>
    <t>Deflect-o RollaMat Studded, Beveled Mat for Medium Pile Carpeting</t>
  </si>
  <si>
    <t>Deflect-o SuperTray Unbreakable Stackable Tray, Letter, Black</t>
  </si>
  <si>
    <t>Dell Slim USB Multimedia Keyboard</t>
  </si>
  <si>
    <t>Deluxe Chalkboard Eraser Cleaner</t>
  </si>
  <si>
    <t>Deluxe Heavy-Duty Vinyl Round Ring Binder</t>
  </si>
  <si>
    <t>Deluxe Rollaway Locking File with Drawer</t>
  </si>
  <si>
    <t>Design Ebony Sketching Pencil</t>
  </si>
  <si>
    <t>Desktop 3-Pocket Hot File</t>
  </si>
  <si>
    <t>Dexim XPower Skin Super-Thin Power Case for iPhone 5 - Black</t>
  </si>
  <si>
    <t>Digium D40 VoIP phone</t>
  </si>
  <si>
    <t>Disposable Triple-Filter Dust Bags</t>
  </si>
  <si>
    <t>Dixon My First Ticonderoga Pencil, #2</t>
  </si>
  <si>
    <t>Dixon Prang Watercolor Pencils, 10-Color Set with Brush</t>
  </si>
  <si>
    <t>Dixon Ticonderoga Core-Lock Colored Pencils</t>
  </si>
  <si>
    <t>Dixon Ticonderoga Core-Lock Colored Pencils, 48-Color Set</t>
  </si>
  <si>
    <t>Dixon Ticonderoga Erasable Colored Pencil Set, 12-Color</t>
  </si>
  <si>
    <t>Dixon Ticonderoga Maple Cedar Pencil, #2</t>
  </si>
  <si>
    <t>Dixon Ticonderoga Pencils</t>
  </si>
  <si>
    <t>Document Clip Frames</t>
  </si>
  <si>
    <t>Dot Matrix Printer Tape Reel Labels, White, 5000/Box</t>
  </si>
  <si>
    <t>Dual Level, Single-Width Filing Carts</t>
  </si>
  <si>
    <t>Durable Pressboard Binders</t>
  </si>
  <si>
    <t>Easy-staple paper</t>
  </si>
  <si>
    <t>Eaton Premium Continuous-Feed Paper, 25% Cotton, Letter Size, White, 1000 Shts/Box</t>
  </si>
  <si>
    <t>Eberhard Faber 3 1/2" Golf Pencils</t>
  </si>
  <si>
    <t>EcoTones Memo Sheets</t>
  </si>
  <si>
    <t>Economy #2 Pencils</t>
  </si>
  <si>
    <t>Economy Binders</t>
  </si>
  <si>
    <t>Economy Rollaway Files</t>
  </si>
  <si>
    <t>Eldon "L" Workstation Diamond Chairmat</t>
  </si>
  <si>
    <t>Eldon 100 Class Desk Accessories</t>
  </si>
  <si>
    <t>Eldon 200 Class Desk Accessories</t>
  </si>
  <si>
    <t>Eldon 200 Class Desk Accessories, Black</t>
  </si>
  <si>
    <t>Eldon 200 Class Desk Accessories, Burgundy</t>
  </si>
  <si>
    <t>Eldon 200 Class Desk Accessories, Smoke</t>
  </si>
  <si>
    <t>Eldon 300 Class Desk Accessories, Black</t>
  </si>
  <si>
    <t>Eldon 400 Class Desk Accessories, Black Carbon</t>
  </si>
  <si>
    <t>Eldon 500 Class Desk Accessories</t>
  </si>
  <si>
    <t>Eldon Advantage Chair Mats for Low to Medium Pile Carpets</t>
  </si>
  <si>
    <t>Eldon Advantage Foldable Chair Mats for Low Pile Carpets</t>
  </si>
  <si>
    <t>Eldon Antistatic Chair Mats for Low to Medium Pile Carpets</t>
  </si>
  <si>
    <t>Eldon Base for stackable storage shelf, platinum</t>
  </si>
  <si>
    <t>Eldon Cleatmat Chair Mats for Medium Pile Carpets</t>
  </si>
  <si>
    <t>Eldon Cleatmat Plus Chair Mats for High Pile Carpets</t>
  </si>
  <si>
    <t>Eldon ClusterMat Chair Mat with Cordless Antistatic Protection</t>
  </si>
  <si>
    <t>Eldon Delta Triangular Chair Mat, 52" x 58", Clear</t>
  </si>
  <si>
    <t>Eldon Econocleat Chair Mats for Low Pile Carpets</t>
  </si>
  <si>
    <t>Eldon Executive Woodline II Cherry Finish Desk Accessories</t>
  </si>
  <si>
    <t>Eldon Executive Woodline II Desk Accessories, Mahogany</t>
  </si>
  <si>
    <t>Eldon Expressions Desk Accessory, Wood Pencil Holder, Oak</t>
  </si>
  <si>
    <t>Eldon Expressions Desk Accessory, Wood Photo Frame, Mahogany</t>
  </si>
  <si>
    <t>Eldon Expressions Mahogany Wood Desk Collection</t>
  </si>
  <si>
    <t>Eldon Expressions Punched Metal &amp; Wood Desk Accessories, Black &amp; Cherry</t>
  </si>
  <si>
    <t>Eldon Expressions Punched Metal &amp; Wood Desk Accessories, Pewter &amp; Cherry</t>
  </si>
  <si>
    <t>Eldon Expressions Wood Desk Accessories, Oak</t>
  </si>
  <si>
    <t>Eldon Expressions Wood and Plastic Desk Accessories, Cherry Wood</t>
  </si>
  <si>
    <t>Eldon Expressions Wood and Plastic Desk Accessories, Oak</t>
  </si>
  <si>
    <t>Eldon File Chest Portable File</t>
  </si>
  <si>
    <t>Eldon Fold 'N Roll Cart System</t>
  </si>
  <si>
    <t>Eldon Gobal File Keepers</t>
  </si>
  <si>
    <t>Eldon Image Series Black Desk Accessories</t>
  </si>
  <si>
    <t>Eldon Image Series Desk Accessories, Burgundy</t>
  </si>
  <si>
    <t>Eldon Image Series Desk Accessories, Ebony</t>
  </si>
  <si>
    <t>Eldon Imàge Series Desk Accessories, Clear</t>
  </si>
  <si>
    <t>Eldon Jumbo ProFile Portable File Boxes Graphite/Black</t>
  </si>
  <si>
    <t>Eldon Mobile Mega Data Cart  Mega Stackable  Add-On Trays</t>
  </si>
  <si>
    <t>Eldon Pizzaz Desk Accessories</t>
  </si>
  <si>
    <t>Eldon Portable Mobile Manager</t>
  </si>
  <si>
    <t>Eldon ProFile File 'N Store Portable File Tub Letter/Legal Size Black</t>
  </si>
  <si>
    <t>Eldon Radial Chair Mat for Low to Medium Pile Carpets</t>
  </si>
  <si>
    <t>Eldon Regeneration Recycled Desk Accessories, Black</t>
  </si>
  <si>
    <t>Eldon Regeneration Recycled Desk Accessories, Smoke</t>
  </si>
  <si>
    <t>Eldon Shelf Savers Cubes and Bins</t>
  </si>
  <si>
    <t>Eldon Simplefile Box Office</t>
  </si>
  <si>
    <t>Eldon Spacemaker Box, Quick-Snap Lid, Clear</t>
  </si>
  <si>
    <t>Eldon Stackable Tray, Side-Load, Legal, Smoke</t>
  </si>
  <si>
    <t>Eldon Wave Desk Accessories</t>
  </si>
  <si>
    <t>Electrix 20W Halogen Replacement Bulb for Zoom-In Desk Lamp</t>
  </si>
  <si>
    <t>Electrix Architect's Clamp-On Swing Arm Lamp, Black</t>
  </si>
  <si>
    <t>Electrix Fluorescent Magnifier Lamps &amp; Weighted Base</t>
  </si>
  <si>
    <t>Electrix Halogen Magnifier Lamp</t>
  </si>
  <si>
    <t>Electrix Incandescent Magnifying Lamp, Black</t>
  </si>
  <si>
    <t>Elite 5" Scissors</t>
  </si>
  <si>
    <t>Embossed Ink Jet Note Cards</t>
  </si>
  <si>
    <t>Enermax Acrylux Wireless Keyboard</t>
  </si>
  <si>
    <t>Enermax Aurora Lite Keyboard</t>
  </si>
  <si>
    <t>Enermax Briskie RF Wireless Keyboard and Mouse Combo</t>
  </si>
  <si>
    <t>Epson Perfection V600 Photo Scanner</t>
  </si>
  <si>
    <t>Epson TM-T88V Direct Thermal Printer - Monochrome - Desktop</t>
  </si>
  <si>
    <t>Epson WorkForce WF-2530 All-in-One Printer, Copier Scanner</t>
  </si>
  <si>
    <t>Eureka Disposable Bags for Sanitaire Vibra Groomer I Upright Vac</t>
  </si>
  <si>
    <t>Eureka Hand Vacuum, Bagless</t>
  </si>
  <si>
    <t>Eureka Recycled Copy Paper 8 1/2" x 11", Ream</t>
  </si>
  <si>
    <t>Eureka Sanitaire  Commercial Upright</t>
  </si>
  <si>
    <t>Eureka Sanitaire  Multi-Pro Heavy-Duty Upright, Disposable Bags</t>
  </si>
  <si>
    <t>Eureka The Boss Cordless Rechargeable Stick Vac</t>
  </si>
  <si>
    <t>Eureka The Boss Lite 10-Amp Upright Vacuum, Blue</t>
  </si>
  <si>
    <t>Eureka The Boss Plus 12-Amp Hard Box Upright Vacuum, Red</t>
  </si>
  <si>
    <t>Euro Pro Shark Stick Mini Vacuum</t>
  </si>
  <si>
    <t>Euro-Pro Shark Turbo Vacuum</t>
  </si>
  <si>
    <t>Executive Impressions 10" Spectator Wall Clock</t>
  </si>
  <si>
    <t>Executive Impressions 12" Wall Clock</t>
  </si>
  <si>
    <t>Executive Impressions 13" Chairman Wall Clock</t>
  </si>
  <si>
    <t>Executive Impressions 13" Clairmont Wall Clock</t>
  </si>
  <si>
    <t>Executive Impressions 13-1/2" Indoor/Outdoor Wall Clock</t>
  </si>
  <si>
    <t>Executive Impressions 14"</t>
  </si>
  <si>
    <t>Executive Impressions 14" Contract Wall Clock</t>
  </si>
  <si>
    <t>Executive Impressions 14" Contract Wall Clock with Quartz Movement</t>
  </si>
  <si>
    <t>Executive Impressions 14" Two-Color Numerals Wall Clock</t>
  </si>
  <si>
    <t>Executive Impressions 16-1/2" Circular Wall Clock</t>
  </si>
  <si>
    <t>Executive Impressions 8-1/2" Career Panel/Partition Cubicle Clock</t>
  </si>
  <si>
    <t>Executive Impressions Supervisor Wall Clock</t>
  </si>
  <si>
    <t>Faber Castell Col-Erase Pencils</t>
  </si>
  <si>
    <t>Fashion Color Clasp Envelopes</t>
  </si>
  <si>
    <t>Fellowes 8 Outlet Superior Workstation Surge Protector</t>
  </si>
  <si>
    <t>Fellowes 8 Outlet Superior Workstation Surge Protector w/o Phone/Fax/Modem Protection</t>
  </si>
  <si>
    <t>Fellowes Advanced 8 Outlet Surge Suppressor with Phone/Fax Protection</t>
  </si>
  <si>
    <t>Fellowes Advanced Computer Series Surge Protectors</t>
  </si>
  <si>
    <t>Fellowes Bankers Box Recycled Super Stor/Drawer</t>
  </si>
  <si>
    <t>Fellowes Bankers Box Staxonsteel Drawer File/Stacking System</t>
  </si>
  <si>
    <t>Fellowes Bankers Box Stor/Drawer Steel Plus</t>
  </si>
  <si>
    <t>Fellowes Bases and Tops For Staxonsteel/High-Stak Systems</t>
  </si>
  <si>
    <t>Fellowes Basic Home/Office Series Surge Protectors</t>
  </si>
  <si>
    <t>Fellowes Binding Cases</t>
  </si>
  <si>
    <t>Fellowes Black Plastic Comb Bindings</t>
  </si>
  <si>
    <t>Fellowes Command Center 5-outlet power strip</t>
  </si>
  <si>
    <t>Fellowes Desktop Hanging File Manager</t>
  </si>
  <si>
    <t>Fellowes Econo/Stor Drawers</t>
  </si>
  <si>
    <t>Fellowes High-Stak Drawer Files</t>
  </si>
  <si>
    <t>Fellowes Mighty 8 Compact Surge Protector</t>
  </si>
  <si>
    <t>Fellowes Mobile File Cart, Black</t>
  </si>
  <si>
    <t>Fellowes Neat Ideas Storage Cubes</t>
  </si>
  <si>
    <t>Fellowes Officeware Wire Shelving</t>
  </si>
  <si>
    <t>Fellowes PB200 Plastic Comb Binding Machine</t>
  </si>
  <si>
    <t>Fellowes PB300 Plastic Comb Binding Machine</t>
  </si>
  <si>
    <t>Fellowes Personal Hanging Folder Files, Navy</t>
  </si>
  <si>
    <t>Fellowes Powershred HS-440 4-Sheet High Security Shredder</t>
  </si>
  <si>
    <t>Fellowes Premier Superior Surge Suppressor, 10-Outlet, With Phone and Remote</t>
  </si>
  <si>
    <t>Fellowes Presentation Covers for Comb Binding Machines</t>
  </si>
  <si>
    <t>Fellowes Recycled Storage Drawers</t>
  </si>
  <si>
    <t>Fellowes Smart Surge Ten-Outlet Protector, Platinum</t>
  </si>
  <si>
    <t>Fellowes Staxonsteel Drawer Files</t>
  </si>
  <si>
    <t>Fellowes Stor/Drawer Steel Plus Storage Drawers</t>
  </si>
  <si>
    <t>Fellowes Strictly Business Drawer File, Letter/Legal Size</t>
  </si>
  <si>
    <t>Fellowes Super Stor/Drawer</t>
  </si>
  <si>
    <t>Fellowes Super Stor/Drawer Files</t>
  </si>
  <si>
    <t>Fellowes Superior 10 Outlet Split Surge Protector</t>
  </si>
  <si>
    <t>Fellowes Twister Kit, Gray/Clear, 3/pkg</t>
  </si>
  <si>
    <t>File Shuttle I and Handi-File</t>
  </si>
  <si>
    <t>File Shuttle II and Handi-File, Black</t>
  </si>
  <si>
    <t>First Data FD10 PIN Pad</t>
  </si>
  <si>
    <t>First Data TMFD35 PIN Pad</t>
  </si>
  <si>
    <t>Fiskars 8" Scissors, 2/Pack</t>
  </si>
  <si>
    <t>Fiskars Home &amp; Office Scissors</t>
  </si>
  <si>
    <t>Fiskars Softgrip Scissors</t>
  </si>
  <si>
    <t>Fiskars Spring-Action Scissors</t>
  </si>
  <si>
    <t>Flat Face Poster Frame</t>
  </si>
  <si>
    <t>Flexible Leather- Look Classic Collection Ring Binder</t>
  </si>
  <si>
    <t>Floodlight Indoor Halogen Bulbs, 1 Bulb per Pack, 60 Watts</t>
  </si>
  <si>
    <t>Fluorescent Highlighters by Dixon</t>
  </si>
  <si>
    <t>G.E. Halogen Desk Lamp Bulbs</t>
  </si>
  <si>
    <t>G.E. Longer-Life Indoor Recessed Floodlight Bulbs</t>
  </si>
  <si>
    <t>GBC Binding covers</t>
  </si>
  <si>
    <t>GBC Clear Cover, 8-1/2 x 11, unpunched, 25 covers per pack</t>
  </si>
  <si>
    <t>GBC DocuBind 200 Manual Binding Machine</t>
  </si>
  <si>
    <t>GBC DocuBind 300 Electric Binding Machine</t>
  </si>
  <si>
    <t>GBC DocuBind P100 Manual Binding Machine</t>
  </si>
  <si>
    <t>GBC DocuBind P50 Personal Binding Machine</t>
  </si>
  <si>
    <t>GBC DocuBind TL200 Manual Binding Machine</t>
  </si>
  <si>
    <t>GBC Durable Plastic Covers</t>
  </si>
  <si>
    <t>GBC Imprintable Covers</t>
  </si>
  <si>
    <t>GBC Instant Index System for Binding Systems</t>
  </si>
  <si>
    <t>GBC Instant Report Kit</t>
  </si>
  <si>
    <t>GBC Laser Imprintable Binding System Covers, Desert Sand</t>
  </si>
  <si>
    <t>GBC Linen Binding Covers</t>
  </si>
  <si>
    <t>GBC Personal VeloBind Strips</t>
  </si>
  <si>
    <t>GBC Plastic Binding Combs</t>
  </si>
  <si>
    <t>GBC Plasticlear Binding Covers</t>
  </si>
  <si>
    <t>GBC Poly Designer Binding Covers</t>
  </si>
  <si>
    <t>GBC Pre-Punched Binding Paper, Plastic, White, 8-1/2" x 11"</t>
  </si>
  <si>
    <t>GBC Premium Transparent Covers with Diagonal Lined Pattern</t>
  </si>
  <si>
    <t>GBC Prepunched Paper, 19-Hole, for Binding Systems, 24-lb</t>
  </si>
  <si>
    <t>GBC Prestige Therm-A-Bind Covers</t>
  </si>
  <si>
    <t>GBC ProClick 150 Presentation Binding System</t>
  </si>
  <si>
    <t>GBC ProClick Punch Binding System</t>
  </si>
  <si>
    <t>GBC ProClick Spines for 32-Hole Punch</t>
  </si>
  <si>
    <t>GBC Recycled Grain Textured Covers</t>
  </si>
  <si>
    <t>GBC Recycled Regency Composition Covers</t>
  </si>
  <si>
    <t>GBC Recycled VeloBinder Covers</t>
  </si>
  <si>
    <t>GBC Standard Plastic Binding Systems Combs</t>
  </si>
  <si>
    <t>GBC Standard Plastic Binding Systems' Combs</t>
  </si>
  <si>
    <t>GBC Standard Recycled Report Covers, Clear Plastic Sheets</t>
  </si>
  <si>
    <t>GBC Standard Therm-A-Bind Covers</t>
  </si>
  <si>
    <t>GBC Therma-A-Bind 250T Electric Binding System</t>
  </si>
  <si>
    <t>GBC Twin Loop Wire Binding Elements</t>
  </si>
  <si>
    <t>GBC Twin Loop Wire Binding Elements, 9/16" Spine, Black</t>
  </si>
  <si>
    <t>GBC VeloBind Cover Sets</t>
  </si>
  <si>
    <t>GBC VeloBinder Electric Binding Machine</t>
  </si>
  <si>
    <t>GBC VeloBinder Manual Binding System</t>
  </si>
  <si>
    <t>GBC VeloBinder Strips</t>
  </si>
  <si>
    <t>GBC Velobind Prepunched Cover Sets, Regency Series</t>
  </si>
  <si>
    <t>GBC White Gloss Covers, Plain Front</t>
  </si>
  <si>
    <t>GBC Wire Binding Combs</t>
  </si>
  <si>
    <t>GBC Wire Binding Strips</t>
  </si>
  <si>
    <t>GE 2-Jack Phone Line Splitter</t>
  </si>
  <si>
    <t>GE 30522EE2</t>
  </si>
  <si>
    <t>GE 30524EE4</t>
  </si>
  <si>
    <t>GE 4 Foot Flourescent Tube, 40 Watt</t>
  </si>
  <si>
    <t>GE 48" Fluorescent Tube, Cool White Energy Saver, 34 Watts, 30/Box</t>
  </si>
  <si>
    <t>GE DSL Phone Line Filter</t>
  </si>
  <si>
    <t>GE General Purpose, Extra Long Life, Showcase &amp; Floodlight Incandescent Bulbs</t>
  </si>
  <si>
    <t>GE General Use Halogen Bulbs, 100 Watts, 1 Bulb per Pack</t>
  </si>
  <si>
    <t>Gear Head AU3700S Headset</t>
  </si>
  <si>
    <t>Geemarc AmpliPOWER60</t>
  </si>
  <si>
    <t>Geographics Note Cards, Blank, White, 8 1/2" x 11"</t>
  </si>
  <si>
    <t>Global Adaptabilites Bookcase, Cherry/Storm Gray Finish</t>
  </si>
  <si>
    <t>Global Adaptabilities Conference Tables</t>
  </si>
  <si>
    <t>Global Airflow Leather Mesh Back Chair, Black</t>
  </si>
  <si>
    <t>Global Armless Task Chair, Royal Blue</t>
  </si>
  <si>
    <t>Global Chrome Stack Chair</t>
  </si>
  <si>
    <t>Global Comet Stacking Arm Chair</t>
  </si>
  <si>
    <t>Global Comet Stacking Armless Chair</t>
  </si>
  <si>
    <t>Global Commerce Series High-Back Swivel/Tilt Chairs</t>
  </si>
  <si>
    <t>Global Commerce Series Low-Back Swivel/Tilt Chairs</t>
  </si>
  <si>
    <t>Global Deluxe High-Back Manager's Chair</t>
  </si>
  <si>
    <t>Global Deluxe High-Back Office Chair in Storm</t>
  </si>
  <si>
    <t>Global Deluxe Office Fabric Chairs</t>
  </si>
  <si>
    <t>Global Deluxe Stacking Chair, Gray</t>
  </si>
  <si>
    <t>Global Deluxe Steno Chair</t>
  </si>
  <si>
    <t>Global Enterprise Series Seating High-Back Swivel/Tilt Chairs</t>
  </si>
  <si>
    <t>Global Enterprise Series Seating Low-Back Swivel/Tilt Chairs</t>
  </si>
  <si>
    <t>Global Ergonomic Managers Chair</t>
  </si>
  <si>
    <t>Global Executive Mid-Back Manager's Chair</t>
  </si>
  <si>
    <t>Global Fabric Manager's Chair, Dark Gray</t>
  </si>
  <si>
    <t>Global Geo Office Task Chair, Gray</t>
  </si>
  <si>
    <t>Global High-Back Leather Tilter, Burgundy</t>
  </si>
  <si>
    <t>Global Highback Leather Tilter in Burgundy</t>
  </si>
  <si>
    <t>Global Italian Leather Office Chair</t>
  </si>
  <si>
    <t>Global Leather &amp; Oak Executive Chair, Burgundy</t>
  </si>
  <si>
    <t>Global Leather Executive Chair</t>
  </si>
  <si>
    <t>Global Leather Highback Executive Chair with Pneumatic Height Adjustment, Black</t>
  </si>
  <si>
    <t>Global Leather Task Chair, Black</t>
  </si>
  <si>
    <t>Global Leather and Oak Executive Chair, Black</t>
  </si>
  <si>
    <t>Global Low Back Tilter Chair</t>
  </si>
  <si>
    <t>Global Manager's Adjustable Task Chair, Storm</t>
  </si>
  <si>
    <t>Global Push Button Manager's Chair, Indigo</t>
  </si>
  <si>
    <t>Global Stack Chair with Arms, Black</t>
  </si>
  <si>
    <t>Global Stack Chair without Arms, Black</t>
  </si>
  <si>
    <t>Global Super Steno Chair</t>
  </si>
  <si>
    <t>Global Task Chair, Black</t>
  </si>
  <si>
    <t>Global Troy Executive Leather Low-Back Tilter</t>
  </si>
  <si>
    <t>Global Value Mid-Back Manager's Chair, Gray</t>
  </si>
  <si>
    <t>Global Value Steno Chair, Gray</t>
  </si>
  <si>
    <t>Global Wood Trimmed Manager's Task Chair, Khaki</t>
  </si>
  <si>
    <t>Globe Weis Peel &amp; Seel First Class Envelopes</t>
  </si>
  <si>
    <t>Google Nexus 5</t>
  </si>
  <si>
    <t>Gould Plastics 18-Pocket Panel Bin, 34w x 5-1/4d x 20-1/2h</t>
  </si>
  <si>
    <t>Gould Plastics 9-Pocket Panel Bin, 18-3/8w x 5-1/4d x 20-1/2h, Black</t>
  </si>
  <si>
    <t>Grandstream GXP1160 VoIP phone</t>
  </si>
  <si>
    <t>Grandstream GXP2100 Mainstream Business Phone</t>
  </si>
  <si>
    <t>Great White Multi-Use Recycled Paper (20Lb. and 84 Bright)</t>
  </si>
  <si>
    <t>Green Bar Computer Printout Paper</t>
  </si>
  <si>
    <t>Green Canvas Binder for 8-1/2" x 14" Sheets</t>
  </si>
  <si>
    <t>Griffin GC17055 Auxiliary Audio Cable</t>
  </si>
  <si>
    <t>Griffin GC36547 PowerJolt SE Lightning Charger</t>
  </si>
  <si>
    <t>Grip Seal Envelopes</t>
  </si>
  <si>
    <t>GuestStacker Chair with Chrome Finish Legs</t>
  </si>
  <si>
    <t>HP Office Paper (20Lb. and 87 Bright)</t>
  </si>
  <si>
    <t>HP Office Recycled Paper (20Lb. and 87 Bright)</t>
  </si>
  <si>
    <t>HP Officejet Pro 8600 e-All-In-One Printer, Copier, Scanner, Fax</t>
  </si>
  <si>
    <t>HP Standard 104 key PS/2 Keyboard</t>
  </si>
  <si>
    <t>HTC One</t>
  </si>
  <si>
    <t>HTC One Mini</t>
  </si>
  <si>
    <t>Hammermill Color Copier Paper (28Lb. and 96 Bright)</t>
  </si>
  <si>
    <t>Hammermill CopyPlus Copy Paper (20Lb. and 84 Bright)</t>
  </si>
  <si>
    <t>Hand-Finished Solid Wood Document Frame</t>
  </si>
  <si>
    <t>Hanging Personal Folder File</t>
  </si>
  <si>
    <t>Harbour Creations 67200 Series Stacking Chairs</t>
  </si>
  <si>
    <t>Harbour Creations Steel Folding Chair</t>
  </si>
  <si>
    <t>Harmony Air Purifier</t>
  </si>
  <si>
    <t>Harmony HEPA Quiet Air Purifiers</t>
  </si>
  <si>
    <t>Heavy-Duty E-Z-D Binders</t>
  </si>
  <si>
    <t>Hewlett Packard 310 Color Digital Copier</t>
  </si>
  <si>
    <t>Hewlett Packard 610 Color Digital Copier / Printer</t>
  </si>
  <si>
    <t>Hewlett-Packard 300S Scientific Calculator</t>
  </si>
  <si>
    <t>Hewlett-Packard Deskjet 3050a All-in-One Color Inkjet Printer</t>
  </si>
  <si>
    <t>Hewlett-Packard Deskjet 5550 Printer</t>
  </si>
  <si>
    <t>Hewlett-Packard Deskjet 6540 Color Inkjet Printer</t>
  </si>
  <si>
    <t>Hewlett-Packard Deskjet D4360 Printer</t>
  </si>
  <si>
    <t>Hewlett-Packard Deskjet F4180 All-in-One Color Ink-jet - Printer / copier / scanner</t>
  </si>
  <si>
    <t>Hewlett-Packard Desktjet 6988DT Refurbished Printer</t>
  </si>
  <si>
    <t>High-Back Leather Manager's Chair</t>
  </si>
  <si>
    <t>Holmes 99% HEPA Air Purifier</t>
  </si>
  <si>
    <t>Holmes Cool Mist Humidifier for the Whole House with 8-Gallon Output per Day, Extended Life Filter</t>
  </si>
  <si>
    <t>Holmes HEPA Air Purifier</t>
  </si>
  <si>
    <t>Holmes Harmony HEPA Air Purifier for 17 x 20 Room</t>
  </si>
  <si>
    <t>Holmes Odor Grabber</t>
  </si>
  <si>
    <t>Holmes Replacement Filter for HEPA Air Cleaner, Large Room</t>
  </si>
  <si>
    <t>Holmes Replacement Filter for HEPA Air Cleaner, Medium Room</t>
  </si>
  <si>
    <t>Holmes Replacement Filter for HEPA Air Cleaner, Very Large Room, HEPA Filter</t>
  </si>
  <si>
    <t>Holmes Visible Mist Ultrasonic Humidifier with 2.3-Gallon Output per Day, Replacement Filter</t>
  </si>
  <si>
    <t>Home/Office Personal File Carts</t>
  </si>
  <si>
    <t>Hon 2090 “Pillow Soft” Series Mid Back Swivel/Tilt Chairs</t>
  </si>
  <si>
    <t>Hon 2111 Invitation Series Corner Table</t>
  </si>
  <si>
    <t>Hon 2111 Invitation Series Straight Table</t>
  </si>
  <si>
    <t>Hon 30" x 60" Table with Locking Drawer</t>
  </si>
  <si>
    <t>Hon 4-Shelf Metal Bookcases</t>
  </si>
  <si>
    <t>Hon 4060 Series Tables</t>
  </si>
  <si>
    <t>Hon 4070 Series Pagoda Armless Upholstered Stacking Chairs</t>
  </si>
  <si>
    <t>Hon 4070 Series Pagoda Round Back Stacking Chairs</t>
  </si>
  <si>
    <t>Hon 4700 Series Mobuis Mid-Back Task Chairs with Adjustable Arms</t>
  </si>
  <si>
    <t>Hon 5100 Series Wood Tables</t>
  </si>
  <si>
    <t>Hon 61000 Series Interactive Training Tables</t>
  </si>
  <si>
    <t>Hon 94000 Series Round Tables</t>
  </si>
  <si>
    <t>Hon Comfortask Task/Swivel Chairs</t>
  </si>
  <si>
    <t>Hon Deluxe Fabric Upholstered Stacking Chairs</t>
  </si>
  <si>
    <t>Hon Deluxe Fabric Upholstered Stacking Chairs, Rounded Back</t>
  </si>
  <si>
    <t>Hon Deluxe Fabric Upholstered Stacking Chairs, Squared Back</t>
  </si>
  <si>
    <t>Hon Every-Day Chair Series Swivel Task Chairs</t>
  </si>
  <si>
    <t>Hon Every-Day Series Multi-Task Chairs</t>
  </si>
  <si>
    <t>Hon GuestStacker Chair</t>
  </si>
  <si>
    <t>Hon Metal Bookcases, Black</t>
  </si>
  <si>
    <t>Hon Metal Bookcases, Gray</t>
  </si>
  <si>
    <t>Hon Metal Bookcases, Putty</t>
  </si>
  <si>
    <t>Hon Mobius Operator's Chair</t>
  </si>
  <si>
    <t>Hon Multipurpose Stacking Arm Chairs</t>
  </si>
  <si>
    <t>Hon Non-Folding Utility Tables</t>
  </si>
  <si>
    <t>Hon Olson Stacker Chairs</t>
  </si>
  <si>
    <t>Hon Olson Stacker Stools</t>
  </si>
  <si>
    <t>Hon Pagoda Stacking Chairs</t>
  </si>
  <si>
    <t>Hon Practical Foundations 30 x 60 Training Table, Light Gray/Charcoal</t>
  </si>
  <si>
    <t>Hon Racetrack Conference Tables</t>
  </si>
  <si>
    <t>Hon Rectangular Conference Tables</t>
  </si>
  <si>
    <t>Hon Valutask Swivel Chairs</t>
  </si>
  <si>
    <t>Honeywell Enviracaire Portable Air Cleaner for up to 8 x 10 Room</t>
  </si>
  <si>
    <t>Honeywell Enviracaire Portable HEPA Air Cleaner for 16' x 20' Room</t>
  </si>
  <si>
    <t>Honeywell Enviracaire Portable HEPA Air Cleaner for 17' x 22' Room</t>
  </si>
  <si>
    <t>Honeywell Enviracaire Portable HEPA Air Cleaner for up to 10 x 16 Room</t>
  </si>
  <si>
    <t>Honeywell Quietcare HEPA Air Cleaner</t>
  </si>
  <si>
    <t>Hoover Commercial Lightweight Upright Vacuum</t>
  </si>
  <si>
    <t>Hoover Commercial Lightweight Upright Vacuum with E-Z Empty Dirt Cup</t>
  </si>
  <si>
    <t>Hoover Commercial Soft Guard Upright Vacuum And Disposable Filtration Bags</t>
  </si>
  <si>
    <t>Hoover Commercial SteamVac</t>
  </si>
  <si>
    <t>Hoover Portapower Portable Vacuum</t>
  </si>
  <si>
    <t>Hoover Replacement Belt for Commercial Guardsman Heavy-Duty Upright Vacuum</t>
  </si>
  <si>
    <t>Hoover Replacement Belts For Soft Guard &amp; Commercial Ltweight Upright Vacs, 2/Pk</t>
  </si>
  <si>
    <t>Hoover Shoulder Vac Commercial Portable Vacuum</t>
  </si>
  <si>
    <t>Hoover Upright Vacuum With Dirt Cup</t>
  </si>
  <si>
    <t>Hoover WindTunnel Plus Canister Vacuum</t>
  </si>
  <si>
    <t>Hot File 7-Pocket, Floor Stand</t>
  </si>
  <si>
    <t>Howard Miller 11-1/2" Diameter Brentwood Wall Clock</t>
  </si>
  <si>
    <t>Howard Miller 11-1/2" Diameter Grantwood Wall Clock</t>
  </si>
  <si>
    <t>Howard Miller 11-1/2" Diameter Ridgewood Wall Clock</t>
  </si>
  <si>
    <t>Howard Miller 12" Round Wall Clock</t>
  </si>
  <si>
    <t>Howard Miller 12-3/4 Diameter Accuwave DS  Wall Clock</t>
  </si>
  <si>
    <t>Howard Miller 13" Diameter Goldtone Round Wall Clock</t>
  </si>
  <si>
    <t>Howard Miller 13" Diameter Pewter Finish Round Wall Clock</t>
  </si>
  <si>
    <t>Howard Miller 13-1/2" Diameter Rosebrook Wall Clock</t>
  </si>
  <si>
    <t>Howard Miller 13-3/4" Diameter Brushed Chrome Round Wall Clock</t>
  </si>
  <si>
    <t>Howard Miller 14-1/2" Diameter Chrome Round Wall Clock</t>
  </si>
  <si>
    <t>Howard Miller 16" Diameter Gallery Wall Clock</t>
  </si>
  <si>
    <t>Howard Miller Distant Time Traveler Alarm Clock</t>
  </si>
  <si>
    <t>Hunt BOSTON Model 1606 High-Volume Electric Pencil Sharpener, Beige</t>
  </si>
  <si>
    <t>Hunt BOSTON Vista Battery-Operated Pencil Sharpener, Black</t>
  </si>
  <si>
    <t>Hunt Boston Vacuum Mount KS Pencil Sharpener</t>
  </si>
  <si>
    <t>Hunt PowerHouse Electric Pencil Sharpener, Blue</t>
  </si>
  <si>
    <t>Hypercom P1300 Pinpad</t>
  </si>
  <si>
    <t>I Need's 3d Hello Kitty Hybrid Silicone Case Cover for HTC One X 4g with 3d Hello Kitty Stylus Pen Green/pink</t>
  </si>
  <si>
    <t>I.R.I.S IRISCard Anywhere 5 Card Scanner</t>
  </si>
  <si>
    <t>IBM Multi-Purpose Copy Paper, 8 1/2 x 11", Case</t>
  </si>
  <si>
    <t>Ibico Covers for Plastic or Wire Binding Elements</t>
  </si>
  <si>
    <t>Ibico EB-19 Dual Function Manual Binding System</t>
  </si>
  <si>
    <t>Ibico EPK-21 Electric Binding System</t>
  </si>
  <si>
    <t>Ibico Hi-Tech Manual Binding System</t>
  </si>
  <si>
    <t>Ibico Ibimaster 300 Manual Binding System</t>
  </si>
  <si>
    <t>Ibico Laser Imprintable Binding System Covers</t>
  </si>
  <si>
    <t>Ibico Plastic Spiral Binding Combs</t>
  </si>
  <si>
    <t>Ibico Plastic and Wire Spiral Binding Combs</t>
  </si>
  <si>
    <t>Ibico Presentation Index for Binding Systems</t>
  </si>
  <si>
    <t>Ibico Recycled Grain-Textured Covers</t>
  </si>
  <si>
    <t>Ibico Recycled Linen-Style Covers</t>
  </si>
  <si>
    <t>Ibico Standard Transparent Covers</t>
  </si>
  <si>
    <t xml:space="preserve">Iceberg Mobile Mega Data/Printer Cart </t>
  </si>
  <si>
    <t>Iceberg Nesting Folding Chair, 19w x 6d x 43h</t>
  </si>
  <si>
    <t>Iceberg OfficeWorks 42" Round Tables</t>
  </si>
  <si>
    <t>Ideal Clamps</t>
  </si>
  <si>
    <t>Imation Bio 2GB USB Flash Drive Imation Corp</t>
  </si>
  <si>
    <t>Imation Bio 8GB USB Flash Drive Imation Corp</t>
  </si>
  <si>
    <t>Imation 16GB Mini TravelDrive USB 2.0 Flash Drive</t>
  </si>
  <si>
    <t>Imation 30456 USB Flash Drive 8GB</t>
  </si>
  <si>
    <t>Imation 32GB Pocket Pro USB 3.0 Flash Drive - 32 GB - Black - 1 P ...</t>
  </si>
  <si>
    <t>Imation 8GB Mini TravelDrive USB 2.0 Flash Drive</t>
  </si>
  <si>
    <t>Imation 8gb Micro Traveldrive Usb 2.0 Flash Drive</t>
  </si>
  <si>
    <t>Imation Clip USB flash drive - 8 GB</t>
  </si>
  <si>
    <t>Imation Secure+ Hardware Encrypted USB 2.0 Flash Drive; 16GB</t>
  </si>
  <si>
    <t>Imation Secure Drive + Hardware Encrypted USB flash drive - 16 GB</t>
  </si>
  <si>
    <t>Imation Swivel Flash Drive USB flash drive - 8 GB</t>
  </si>
  <si>
    <t>Imation USB 2.0 Swivel Flash Drive USB flash drive - 4 GB - Pink</t>
  </si>
  <si>
    <t>Important Message Pads, 50 4-1/4 x 5-1/2 Forms per Pad</t>
  </si>
  <si>
    <t>Ink Jet Note and Greeting Cards, 8-1/2" x 5-1/2" Card Size</t>
  </si>
  <si>
    <t>Innergie mMini Combo Duo USB Travel Charging Kit</t>
  </si>
  <si>
    <t>Insertable Tab Indexes For Data Binders</t>
  </si>
  <si>
    <t>Insertable Tab Post Binder Dividers</t>
  </si>
  <si>
    <t>Inter-Office Recycled Envelopes, Brown Kraft, Button-String,10" x 13" , 100/Box</t>
  </si>
  <si>
    <t>Iris 3-Drawer Stacking Bin, Black</t>
  </si>
  <si>
    <t>Iris Project Case</t>
  </si>
  <si>
    <t>It's Hot Message Books with Stickers, 2 3/4" x 5"</t>
  </si>
  <si>
    <t>JBL Micro Wireless Portable Bluetooth Speaker</t>
  </si>
  <si>
    <t>JM Magazine Binder</t>
  </si>
  <si>
    <t>Jabra BIZ 2300 Duo QD Duo Corded Headset</t>
  </si>
  <si>
    <t>Jabra SPEAK 410</t>
  </si>
  <si>
    <t>Jabra SPEAK 410 Multidevice Speakerphone</t>
  </si>
  <si>
    <t>Jabra Supreme Plus Driver Edition Headset</t>
  </si>
  <si>
    <t>Jackery Bar Premium Fast-charging Portable Charger</t>
  </si>
  <si>
    <t>Jawbone JAMBOX Wireless Bluetooth Speaker</t>
  </si>
  <si>
    <t>Jawbone MINI JAMBOX Wireless Bluetooth Speaker</t>
  </si>
  <si>
    <t>Jensen SMPS-640 - speaker phone</t>
  </si>
  <si>
    <t>Jet-Pak Recycled Peel 'N' Seal Padded Mailers</t>
  </si>
  <si>
    <t>Jiffy Padded Mailers with Self-Seal Closure</t>
  </si>
  <si>
    <t>KI Adjustable-Height Table</t>
  </si>
  <si>
    <t>KI Conference Tables</t>
  </si>
  <si>
    <t>KLD Oscar II Style Snap-on Ultra Thin Side Flip Synthetic Leather Cover Case for HTC One HTC M7</t>
  </si>
  <si>
    <t>Kensington 4 Outlet MasterPiece Compact Power Control Center</t>
  </si>
  <si>
    <t>Kensington 6 Outlet Guardian Standard Surge Protector</t>
  </si>
  <si>
    <t>Kensington 6 Outlet MasterPiece HOMEOFFICE Power Control Center</t>
  </si>
  <si>
    <t>Kensington 6 Outlet SmartSocket Surge Protector</t>
  </si>
  <si>
    <t>Kensington 7 Outlet MasterPiece HOMEOFFICE Power Control Center</t>
  </si>
  <si>
    <t>Kensington 7 Outlet MasterPiece Power Center</t>
  </si>
  <si>
    <t>Kensington 7 Outlet MasterPiece Power Center with Fax/Phone Line Protection</t>
  </si>
  <si>
    <t>Kensington Expert Mouse Optical USB Trackball for PC or Mac</t>
  </si>
  <si>
    <t>Kensington K72356US Mouse-in-a-Box USB Desktop Mouse</t>
  </si>
  <si>
    <t>Kensington Orbit Wireless Mobile Trackball for PC and Mac</t>
  </si>
  <si>
    <t xml:space="preserve">Kensington SlimBlade Notebook Wireless Mouse with Nano Receiver </t>
  </si>
  <si>
    <t>KeyTronic 6101 Series - Keyboard - Black</t>
  </si>
  <si>
    <t>KeyTronic E03601U1 - Keyboard - Beige</t>
  </si>
  <si>
    <t>KeyTronic KT400U2 - Keyboard - Black</t>
  </si>
  <si>
    <t>KeyTronic KT800P2 - Keyboard - Black</t>
  </si>
  <si>
    <t>Kingston Digital DataTraveler 16GB USB 2.0</t>
  </si>
  <si>
    <t>Kingston Digital DataTraveler 32GB USB 2.0</t>
  </si>
  <si>
    <t>Kingston Digital DataTraveler 64GB USB 2.0</t>
  </si>
  <si>
    <t>Kingston Digital DataTraveler 8GB USB 2.0</t>
  </si>
  <si>
    <t>Kleencut Forged Office Shears by Acme United Corporation</t>
  </si>
  <si>
    <t>Konftel 250 Conference phone - Charcoal black</t>
  </si>
  <si>
    <t>Konica Minolta magicolor 1690MF Multifunction Printer</t>
  </si>
  <si>
    <t>LF Elite 3D Dazzle Designer Hard Case Cover, Lf Stylus Pen and Wiper For Apple Iphone 5c Mini Lite</t>
  </si>
  <si>
    <t>LG Electronics Tone+ HBS-730 Bluetooth Headset</t>
  </si>
  <si>
    <t>LG Exalt</t>
  </si>
  <si>
    <t>LG G2</t>
  </si>
  <si>
    <t>LG G3</t>
  </si>
  <si>
    <t>Laminate Occasional Tables</t>
  </si>
  <si>
    <t>Large Capacity Hanging Post Binders</t>
  </si>
  <si>
    <t>Laser &amp; Ink Jet Business Envelopes</t>
  </si>
  <si>
    <t>Leather Task Chair, Black</t>
  </si>
  <si>
    <t>Lenovo 17-Key USB Numeric Keypad</t>
  </si>
  <si>
    <t>Lesro Round Back Collection Coffee Table, End Table</t>
  </si>
  <si>
    <t>Lesro Sheffield Collection Coffee Table, End Table, Center Table, Corner Table</t>
  </si>
  <si>
    <t>Letter Size Cart</t>
  </si>
  <si>
    <t>Letter Size File</t>
  </si>
  <si>
    <t>Letter Slitter</t>
  </si>
  <si>
    <t>Letter or Legal Size Expandable Poly String Tie Envelopes</t>
  </si>
  <si>
    <t>Letter/Legal File Tote with Clear Snap-On Lid, Black Granite</t>
  </si>
  <si>
    <t>Lexmark 20R1285 X6650 Wireless All-in-One Printer</t>
  </si>
  <si>
    <t>Lexmark MarkNet N8150 Wireless Print Server</t>
  </si>
  <si>
    <t>Lexmark S315 Color Inkjet Printer</t>
  </si>
  <si>
    <t>Lexmark X 9575 Professional All-in-One Color Printer</t>
  </si>
  <si>
    <t>Lifetime Advantage Folding Chairs, 4/Carton</t>
  </si>
  <si>
    <t>Linden 10" Round Wall Clock, Black</t>
  </si>
  <si>
    <t>Linden 12" Wall Clock With Oak Frame</t>
  </si>
  <si>
    <t>Lock-Up Easel 'Spel-Binder'</t>
  </si>
  <si>
    <t>Logitech 910-002974 M325 Wireless Mouse for Web Scrolling</t>
  </si>
  <si>
    <t>Logitech B530 USB Headset - headset - Full size, Binaural</t>
  </si>
  <si>
    <t>Logitech ClearChat Comfort/USB Headset H390</t>
  </si>
  <si>
    <t>Logitech Desktop MK120 Mouse and keyboard Combo</t>
  </si>
  <si>
    <t>Logitech G105 Gaming Keyboard</t>
  </si>
  <si>
    <t>Logitech G13 Programmable Gameboard with LCD Display</t>
  </si>
  <si>
    <t>Logitech G19 Programmable Gaming Keyboard</t>
  </si>
  <si>
    <t>Logitech G35 7.1-Channel Surround Sound Headset</t>
  </si>
  <si>
    <t>Logitech G430 Surround Sound Gaming Headset with Dolby 7.1 Technology</t>
  </si>
  <si>
    <t>Logitech G500s Laser Gaming Mouse with Adjustable Weight Tuning</t>
  </si>
  <si>
    <t>Logitech G600 MMO Gaming Mouse</t>
  </si>
  <si>
    <t>Logitech G602 Wireless Gaming Mouse</t>
  </si>
  <si>
    <t>Logitech G700s Rechargeable Gaming Mouse</t>
  </si>
  <si>
    <t>Logitech Illuminated Ultrathin Keyboard with Backlighting</t>
  </si>
  <si>
    <t>Logitech K350 2.4Ghz Wireless Keyboard</t>
  </si>
  <si>
    <t>Logitech Keyboard K120</t>
  </si>
  <si>
    <t>Logitech M510 Wireless Mouse</t>
  </si>
  <si>
    <t>Logitech Media Keyboard K200</t>
  </si>
  <si>
    <t>Logitech Mobile Speakerphone P710e - speaker phone</t>
  </si>
  <si>
    <t>Logitech Trackman Marble Mouse</t>
  </si>
  <si>
    <t>Logitech Wireless Anywhere Mouse MX for PC and Mac</t>
  </si>
  <si>
    <t>Logitech Wireless Gaming Headset G930</t>
  </si>
  <si>
    <t>Logitech Wireless Headset H600 Over-The-Head Design</t>
  </si>
  <si>
    <t>Logitech Wireless Headset h800</t>
  </si>
  <si>
    <t>Logitech Wireless Marathon Mouse M705</t>
  </si>
  <si>
    <t>Logitech Wireless Performance Mouse MX for PC and Mac</t>
  </si>
  <si>
    <t>Logitech Wireless Touch Keyboard K400</t>
  </si>
  <si>
    <t>Logitech diNovo Edge Keyboard</t>
  </si>
  <si>
    <t>Logitech Gaming G510s - Keyboard</t>
  </si>
  <si>
    <t>Logitech Illuminated - Keyboard</t>
  </si>
  <si>
    <t>Logitech LS21 Speaker System - PC Multimedia - 2.1-CH - Wired</t>
  </si>
  <si>
    <t>Logitech MX Performance Wireless Mouse</t>
  </si>
  <si>
    <t>Logitech P710e Mobile Speakerphone</t>
  </si>
  <si>
    <t>Logitech VX Revolution Cordless Laser Mouse for Notebooks (Black)</t>
  </si>
  <si>
    <t>Logitech Wireless Boombox Speaker - portable - wireless, wired</t>
  </si>
  <si>
    <t>Logitech Z-906 Speaker sys - home theater - 5.1-CH</t>
  </si>
  <si>
    <t>Longer-Life Soft White Bulbs</t>
  </si>
  <si>
    <t>Loose Memo Sheets</t>
  </si>
  <si>
    <t>Lumber Crayons</t>
  </si>
  <si>
    <t>Lunatik TT5L-002 Taktik Strike Impact Protection System for iPhone 5</t>
  </si>
  <si>
    <t>Luxo Adjustable Task Clamp Lamp</t>
  </si>
  <si>
    <t>Luxo Economy Swing Arm Lamp</t>
  </si>
  <si>
    <t>Luxo Professional Combination Clamp-On Lamps</t>
  </si>
  <si>
    <t>Luxo Professional Fluorescent Magnifier Lamp with Clamp-Mount Base</t>
  </si>
  <si>
    <t>Luxo Professional Magnifying Clamp-On Fluorescent Lamps</t>
  </si>
  <si>
    <t>Macally Suction Cup Mount</t>
  </si>
  <si>
    <t>Magna Visual Magnetic Picture Hangers</t>
  </si>
  <si>
    <t>Magnifier Swing Arm Lamp</t>
  </si>
  <si>
    <t>Manco Dry-Lighter Erasable Highlighter</t>
  </si>
  <si>
    <t>Manila Recycled Extra-Heavyweight Clasp Envelopes, 6" x 9"</t>
  </si>
  <si>
    <t>Martin-Yale Premier Letter Opener</t>
  </si>
  <si>
    <t>Master Big Foot Doorstop, Beige</t>
  </si>
  <si>
    <t>Master Caster Door Stop, Brown</t>
  </si>
  <si>
    <t>Master Caster Door Stop, Gray</t>
  </si>
  <si>
    <t>Master Caster Door Stop, Large Brown</t>
  </si>
  <si>
    <t>Master Caster Door Stop, Large Neon Orange</t>
  </si>
  <si>
    <t>Master Giant Foot Doorstop, Safety Yellow</t>
  </si>
  <si>
    <t>Maxell 4.7GB DVD+R 5/Pack</t>
  </si>
  <si>
    <t>Maxell 4.7GB DVD+RW 3/Pack</t>
  </si>
  <si>
    <t>Maxell 4.7GB DVD-R</t>
  </si>
  <si>
    <t>Maxell 4.7GB DVD-R 5/Pack</t>
  </si>
  <si>
    <t>Maxell 4.7GB DVD-RW 3/Pack</t>
  </si>
  <si>
    <t>Maxell 74 Minute CD-R Spindle, 50/Pack</t>
  </si>
  <si>
    <t>Maxell 74 Minute CDR, 10/Pack</t>
  </si>
  <si>
    <t>Maxell CD-R Discs</t>
  </si>
  <si>
    <t>Maxell DVD-RAM Discs</t>
  </si>
  <si>
    <t>Maxell Pro 80 Minute CD-R, 10/Pack</t>
  </si>
  <si>
    <t>Maxell LTO Ultrium - 800 GB</t>
  </si>
  <si>
    <t>Maxell iVDR EX 500GB Cartridge</t>
  </si>
  <si>
    <t>Mead 1st Gear 2" Zipper Binder, Asst. Colors</t>
  </si>
  <si>
    <t>Mediabridge Sport Armband iPhone 5s</t>
  </si>
  <si>
    <t>Memo Book, 100 Message Capacity, 5 3/8” x 11”</t>
  </si>
  <si>
    <t>Memorex 25GB 6X Branded Blu-Ray Recordable Disc, 15/Pack</t>
  </si>
  <si>
    <t>Memorex 25GB 6X Branded Blu-Ray Recordable Disc, 30/Pack</t>
  </si>
  <si>
    <t>Memorex Froggy Flash Drive 4 GB</t>
  </si>
  <si>
    <t>Memorex Froggy Flash Drive 8 GB</t>
  </si>
  <si>
    <t>Memorex Micro Travel Drive 16 GB</t>
  </si>
  <si>
    <t>Memorex Micro Travel Drive 32 GB</t>
  </si>
  <si>
    <t>Memorex Micro Travel Drive 4 GB</t>
  </si>
  <si>
    <t>Memorex Micro Travel Drive 8 GB</t>
  </si>
  <si>
    <t>Memorex Mini Travel Drive 16 GB USB 2.0 Flash Drive</t>
  </si>
  <si>
    <t>Memorex Mini Travel Drive 32 GB USB 2.0 Flash Drive</t>
  </si>
  <si>
    <t>Memorex Mini Travel Drive 4 GB USB 2.0 Flash Drive</t>
  </si>
  <si>
    <t>Memorex Mini Travel Drive 64 GB USB 2.0 Flash Drive</t>
  </si>
  <si>
    <t>Memorex Mini Travel Drive 8 GB USB 2.0 Flash Drive</t>
  </si>
  <si>
    <t>Message Book, Phone, Wirebound Standard Line Memo, 2 3/4" X 5"</t>
  </si>
  <si>
    <t>Message Book, Standard Line "While You Were Out", 5 1/2" X 4", 200 Sets/Book</t>
  </si>
  <si>
    <t>Message Book, Wirebound, Four 5 1/2" X 4" Forms/Pg., 200 Dupl. Sets/Book</t>
  </si>
  <si>
    <t>Metal Folding Chairs, Beige, 4/Carton</t>
  </si>
  <si>
    <t>Micro Innovations USB RF Wireless Keyboard with Mouse</t>
  </si>
  <si>
    <t>Micro Innovations Wireless Classic Keyboard with Mouse</t>
  </si>
  <si>
    <t>Micropad Numeric Keypads</t>
  </si>
  <si>
    <t>Microsoft Arc Touch Mouse</t>
  </si>
  <si>
    <t>Microsoft Natural Ergonomic Keyboard 4000</t>
  </si>
  <si>
    <t>Microsoft Natural Keyboard Elite</t>
  </si>
  <si>
    <t>Microsoft Sculpt Comfort Mouse</t>
  </si>
  <si>
    <t>Microsoft Wireless Mobile Mouse 4000</t>
  </si>
  <si>
    <t>Mini 13-1/2 Capacity Data Binder Rack, Pearl</t>
  </si>
  <si>
    <t>Mitel 5320 IP Phone VoIP phone</t>
  </si>
  <si>
    <t>Mitel MiVoice 5330e IP Phone</t>
  </si>
  <si>
    <t>Mobile Personal File Cube</t>
  </si>
  <si>
    <t>Model L Table or Wall-Mount Pencil Sharpener</t>
  </si>
  <si>
    <t>Mophie Juice Pack Helium for iPhone</t>
  </si>
  <si>
    <t>Motorla HX550 Universal Bluetooth Headset</t>
  </si>
  <si>
    <t>Motorola Droid Maxx</t>
  </si>
  <si>
    <t>Motorola HK250 Universal Bluetooth Headset</t>
  </si>
  <si>
    <t>Motorola L703CM</t>
  </si>
  <si>
    <t>Motorola L804</t>
  </si>
  <si>
    <t>Motorola Moto X</t>
  </si>
  <si>
    <t>Multi-Use Personal File Cart and Caster Set, Three Stacking Bins</t>
  </si>
  <si>
    <t>Multicolor Computer Printout Paper</t>
  </si>
  <si>
    <t>Multimedia Mailers</t>
  </si>
  <si>
    <t>NETGEAR AC1750 Dual Band Gigabit Smart WiFi Router</t>
  </si>
  <si>
    <t>NETGEAR N750 Dual Band Wi-Fi Gigabit Router</t>
  </si>
  <si>
    <t>NETGEAR RangeMax WNR1000 Wireless Router</t>
  </si>
  <si>
    <t>Neat Ideas Personal Hanging Folder Files, Black</t>
  </si>
  <si>
    <t>NeatDesk Desktop Scanner &amp; Digital Filing System</t>
  </si>
  <si>
    <t>Newell 3-Hole Punched Plastic Slotted Magazine Holders for Binders</t>
  </si>
  <si>
    <t>Newell 307</t>
  </si>
  <si>
    <t>Newell 308</t>
  </si>
  <si>
    <t>Newell 309</t>
  </si>
  <si>
    <t>Newell 31</t>
  </si>
  <si>
    <t>Newell 310</t>
  </si>
  <si>
    <t>Newell 311</t>
  </si>
  <si>
    <t>Newell 312</t>
  </si>
  <si>
    <t>Newell 313</t>
  </si>
  <si>
    <t>Newell 314</t>
  </si>
  <si>
    <t>Newell 315</t>
  </si>
  <si>
    <t>Newell 316</t>
  </si>
  <si>
    <t>Newell 317</t>
  </si>
  <si>
    <t>Newell 318</t>
  </si>
  <si>
    <t>Newell 319</t>
  </si>
  <si>
    <t>Newell 32</t>
  </si>
  <si>
    <t>Newell 320</t>
  </si>
  <si>
    <t>Newell 321</t>
  </si>
  <si>
    <t>Newell 322</t>
  </si>
  <si>
    <t>Newell 323</t>
  </si>
  <si>
    <t>Newell 324</t>
  </si>
  <si>
    <t>Newell 325</t>
  </si>
  <si>
    <t>Newell 326</t>
  </si>
  <si>
    <t>Newell 327</t>
  </si>
  <si>
    <t>Newell 328</t>
  </si>
  <si>
    <t>Newell 329</t>
  </si>
  <si>
    <t>Newell 33</t>
  </si>
  <si>
    <t>Newell 330</t>
  </si>
  <si>
    <t>Newell 331</t>
  </si>
  <si>
    <t>Newell 332</t>
  </si>
  <si>
    <t>Newell 333</t>
  </si>
  <si>
    <t>Newell 334</t>
  </si>
  <si>
    <t>Newell 335</t>
  </si>
  <si>
    <t>Newell 336</t>
  </si>
  <si>
    <t>Newell 337</t>
  </si>
  <si>
    <t>Newell 338</t>
  </si>
  <si>
    <t>Newell 339</t>
  </si>
  <si>
    <t>Newell 34</t>
  </si>
  <si>
    <t>Newell 340</t>
  </si>
  <si>
    <t>Newell 341</t>
  </si>
  <si>
    <t>Newell 342</t>
  </si>
  <si>
    <t>Newell 343</t>
  </si>
  <si>
    <t>Newell 344</t>
  </si>
  <si>
    <t>Newell 345</t>
  </si>
  <si>
    <t>Newell 346</t>
  </si>
  <si>
    <t>Newell 347</t>
  </si>
  <si>
    <t>Newell 348</t>
  </si>
  <si>
    <t>Newell 349</t>
  </si>
  <si>
    <t>Newell 35</t>
  </si>
  <si>
    <t>Newell 350</t>
  </si>
  <si>
    <t>Newell 351</t>
  </si>
  <si>
    <t>Newell Chalk Holder</t>
  </si>
  <si>
    <t>Nokia Lumia 1020</t>
  </si>
  <si>
    <t>Nokia Lumia 521 (T-Mobile)</t>
  </si>
  <si>
    <t>Nokia Lumia 925</t>
  </si>
  <si>
    <t>Nontoxic Chalk</t>
  </si>
  <si>
    <t>Nortel Business Series Terminal T7208 Digital phone</t>
  </si>
  <si>
    <t>Nortel Meridian M3904 Professional Digital phone</t>
  </si>
  <si>
    <t>Nortel Meridian M5316 Digital phone</t>
  </si>
  <si>
    <t>Nortel Networks T7316 E Nt8 B27</t>
  </si>
  <si>
    <t>Novimex Fabric Task Chair</t>
  </si>
  <si>
    <t>Novimex High-Tech Fabric Mesh Task Chair</t>
  </si>
  <si>
    <t>Novimex Swivel Fabric Task Chair</t>
  </si>
  <si>
    <t>Novimex Turbo Task Chair</t>
  </si>
  <si>
    <t>Nu-Dell EZ-Mount Plastic Wall Frames</t>
  </si>
  <si>
    <t>Nu-Dell Executive Frame</t>
  </si>
  <si>
    <t>Nu-Dell Float Frame 11 x 14 1/2</t>
  </si>
  <si>
    <t>Nu-Dell Leatherette Frames</t>
  </si>
  <si>
    <t>Nu-Dell Oak Frame</t>
  </si>
  <si>
    <t>O'Sullivan 2-Door Barrister Bookcase in Odessa Pine</t>
  </si>
  <si>
    <t>O'Sullivan 2-Shelf Heavy-Duty Bookcases</t>
  </si>
  <si>
    <t>O'Sullivan 3-Shelf Heavy-Duty Bookcases</t>
  </si>
  <si>
    <t>O'Sullivan 4-Shelf Bookcase in Odessa Pine</t>
  </si>
  <si>
    <t>O'Sullivan 5-Shelf Heavy-Duty Bookcases</t>
  </si>
  <si>
    <t>O'Sullivan Cherrywood Estates Traditional Barrister Bookcase</t>
  </si>
  <si>
    <t>O'Sullivan Cherrywood Estates Traditional Bookcase</t>
  </si>
  <si>
    <t>O'Sullivan Elevations Bookcase, Cherry Finish</t>
  </si>
  <si>
    <t>O'Sullivan Living Dimensions 2-Shelf Bookcases</t>
  </si>
  <si>
    <t>O'Sullivan Living Dimensions 3-Shelf Bookcases</t>
  </si>
  <si>
    <t>O'Sullivan Living Dimensions 5-Shelf Bookcases</t>
  </si>
  <si>
    <t>O'Sullivan Manor Hill 2-Door Library in Brianna Oak</t>
  </si>
  <si>
    <t>O'Sullivan Plantations 2-Door Library in Landvery Oak</t>
  </si>
  <si>
    <t>OIC #2 Pencils, Medium Soft</t>
  </si>
  <si>
    <t>OIC Binder Clips</t>
  </si>
  <si>
    <t>OIC Binder Clips, Mini, 1/4" Capacity, Black</t>
  </si>
  <si>
    <t>OIC Bulk Pack Metal Binder Clips</t>
  </si>
  <si>
    <t>OIC Colored Binder Clips, Assorted Sizes</t>
  </si>
  <si>
    <t>OIC Stacking Trays</t>
  </si>
  <si>
    <t>OIC Thumb-Tacks</t>
  </si>
  <si>
    <t>Office Impressions End Table, 20-1/2"H x 24"W x 20"D</t>
  </si>
  <si>
    <t>Office Impressions Heavy Duty Welded Shelving &amp; Multimedia Storage Drawers</t>
  </si>
  <si>
    <t>Office Star - Contemporary Swivel Chair with Padded Adjustable Arms and Flex Back</t>
  </si>
  <si>
    <t>Office Star - Contemporary Task Swivel Chair</t>
  </si>
  <si>
    <t>Office Star - Contemporary Task Swivel chair with 2-way adjustable arms, Plum</t>
  </si>
  <si>
    <t>Office Star - Contemporary Task Swivel chair with Loop Arms, Charcoal</t>
  </si>
  <si>
    <t>Office Star - Ergonomic Mid Back Chair with 2-Way Adjustable Arms</t>
  </si>
  <si>
    <t>Office Star - Ergonomically Designed Knee Chair</t>
  </si>
  <si>
    <t>Office Star - Mesh Screen back chair with Vinyl seat</t>
  </si>
  <si>
    <t>Office Star - Mid Back Dual function Ergonomic High Back Chair with 2-Way Adjustable Arms</t>
  </si>
  <si>
    <t>Office Star - Professional Matrix Back Chair with 2-to-1 Synchro Tilt and Mesh Fabric Seat</t>
  </si>
  <si>
    <t>Office Star - Task Chair with Contemporary Loop Arms</t>
  </si>
  <si>
    <t>Office Star Flex Back Scooter Chair with Aluminum Finish Frame</t>
  </si>
  <si>
    <t>Office Star Flex Back Scooter Chair with White Frame</t>
  </si>
  <si>
    <t>Okidata B400 Printer</t>
  </si>
  <si>
    <t>Okidata B401 Printer</t>
  </si>
  <si>
    <t>Okidata C331dn Printer</t>
  </si>
  <si>
    <t>Okidata C610n Printer</t>
  </si>
  <si>
    <t>Okidata MB491 Multifunction Printer</t>
  </si>
  <si>
    <t>Okidata MB760 Printer</t>
  </si>
  <si>
    <t>Ooma Telo VoIP Home Phone System</t>
  </si>
  <si>
    <t>OtterBox Commuter Series Case - Samsung Galaxy S4</t>
  </si>
  <si>
    <t>OtterBox Commuter Series Case - iPhone 5 &amp; 5s</t>
  </si>
  <si>
    <t>OtterBox Defender Series Case - Samsung Galaxy S4</t>
  </si>
  <si>
    <t>OtterBox Defender Series Case - iPhone 5c</t>
  </si>
  <si>
    <t>PNY Rapid USB Car Charger - Black</t>
  </si>
  <si>
    <t>Padded Folding Chairs, Black, 4/Carton</t>
  </si>
  <si>
    <t>Panasonic Business Telephones KX-T7736</t>
  </si>
  <si>
    <t>Panasonic KP-150 Electric Pencil Sharpener</t>
  </si>
  <si>
    <t>Panasonic KP-310 Heavy-Duty Electric Pencil Sharpener</t>
  </si>
  <si>
    <t>Panasonic KP-350BK Electric Pencil Sharpener with Auto Stop</t>
  </si>
  <si>
    <t>Panasonic KP-380BK Classic Electric Pencil Sharpener</t>
  </si>
  <si>
    <t>Panasonic KP-4ABK Battery-Operated Pencil Sharpener</t>
  </si>
  <si>
    <t>Panasonic KX - TS880B Telephone</t>
  </si>
  <si>
    <t>Panasonic KX MB2061 Multifunction Printer</t>
  </si>
  <si>
    <t>Panasonic KX MC6040 Color Laser Multifunction Printer</t>
  </si>
  <si>
    <t>Panasonic KX T7731-B Digital phone</t>
  </si>
  <si>
    <t>Panasonic KX T7736-B Digital phone</t>
  </si>
  <si>
    <t>Panasonic KX TS208W Corded phone</t>
  </si>
  <si>
    <t>Panasonic KX TS3282B Corded phone</t>
  </si>
  <si>
    <t>Panasonic KX TS3282W Corded phone</t>
  </si>
  <si>
    <t>Panasonic KX-TG6844B Expandable Digital Cordless Telephone</t>
  </si>
  <si>
    <t>Panasonic KX-TG9471B</t>
  </si>
  <si>
    <t>Panasonic KX-TG9541B DECT 6.0 Digital 2-Line Expandable Cordless Phone With Digital Answering System</t>
  </si>
  <si>
    <t>Panasonic Kx-TS550</t>
  </si>
  <si>
    <t>Park Ridge Embossed Executive Business Envelopes</t>
  </si>
  <si>
    <t>Pastel Pink Envelopes</t>
  </si>
  <si>
    <t>PayAnywhere Card Reader</t>
  </si>
  <si>
    <t>Peel &amp; Seel Envelopes</t>
  </si>
  <si>
    <t>Peel &amp; Seel Recycled Catalog Envelopes, Brown</t>
  </si>
  <si>
    <t>Peel &amp; Stick Add-On Corner Pockets</t>
  </si>
  <si>
    <t>Peel-Off China Markers</t>
  </si>
  <si>
    <t>Pencil and Crayon Sharpener</t>
  </si>
  <si>
    <t>Penpower WorldCard Pro Card Scanner</t>
  </si>
  <si>
    <t>Performers Binder/Pad Holder, Black</t>
  </si>
  <si>
    <t>Perixx PERIBOARD-512B, Ergonomic Split Keyboard</t>
  </si>
  <si>
    <t>Perma STOR-ALL Hanging File Box, 13 1/8"W x 12 1/4"D x 10 1/2"H</t>
  </si>
  <si>
    <t>Permanent Self-Adhesive File Folder Labels for Typewriters by Universal</t>
  </si>
  <si>
    <t>Permanent Self-Adhesive File Folder Labels for Typewriters, 1 1/8 x 3 1/2, White</t>
  </si>
  <si>
    <t>Personal Creations Ink Jet Cards and Labels</t>
  </si>
  <si>
    <t>Personal File Boxes with Fold-Down Carry Handle</t>
  </si>
  <si>
    <t>Personal Filing Tote with Lid, Black/Gray</t>
  </si>
  <si>
    <t>Personal Folder Holder, Ebony</t>
  </si>
  <si>
    <t>Petty Cash Envelope</t>
  </si>
  <si>
    <t>Pizazz Global Quick File</t>
  </si>
  <si>
    <t>Plantronics 81402</t>
  </si>
  <si>
    <t>Plantronics Audio 478 Stereo USB Headset</t>
  </si>
  <si>
    <t>Plantronics Audio 995 Wireless Stereo Headset</t>
  </si>
  <si>
    <t>Plantronics CS 50-USB - headset - Convertible, Monaural</t>
  </si>
  <si>
    <t>Plantronics CS510 - Over-the-Head monaural Wireless Headset System</t>
  </si>
  <si>
    <t>Plantronics Calisto P620-M USB Wireless Speakerphone System</t>
  </si>
  <si>
    <t>Plantronics Cordless Phone Headset with In-line Volume - M214C</t>
  </si>
  <si>
    <t>Plantronics Encore H101 Dual Earpieces Headset</t>
  </si>
  <si>
    <t>Plantronics HL10 Handset Lifter</t>
  </si>
  <si>
    <t>Plantronics MX500i Earset</t>
  </si>
  <si>
    <t>Plantronics S12 Corded Telephone Headset System</t>
  </si>
  <si>
    <t>Plantronics Savi W720 Multi-Device Wireless Headset System</t>
  </si>
  <si>
    <t>Plantronics Single Ear Headset</t>
  </si>
  <si>
    <t>Plantronics Voyager Pro HD - Bluetooth Headset</t>
  </si>
  <si>
    <t>Plantronics Voyager Pro Legend</t>
  </si>
  <si>
    <t>Plastic Binding Combs</t>
  </si>
  <si>
    <t>Plastic Stacking Crates &amp; Casters</t>
  </si>
  <si>
    <t>Plymouth Boxed Rubber Bands by Plymouth</t>
  </si>
  <si>
    <t>Poly Designer Cover &amp; Back</t>
  </si>
  <si>
    <t>Poly String Tie Envelopes</t>
  </si>
  <si>
    <t>Polycom CX300 Desktop Phone USB VoIP phone</t>
  </si>
  <si>
    <t>Polycom CX600 IP Phone VoIP phone</t>
  </si>
  <si>
    <t>Polycom SoundPoint IP 450 VoIP phone</t>
  </si>
  <si>
    <t>Polycom SoundPoint Pro SE-225 Corded phone</t>
  </si>
  <si>
    <t>Polycom SoundStation2 EX Conference phone</t>
  </si>
  <si>
    <t>Polycom VVX 310 VoIP phone</t>
  </si>
  <si>
    <t>Polycom VoiceStation 500 Conference phone</t>
  </si>
  <si>
    <t>Portable Personal File Box</t>
  </si>
  <si>
    <t>Portfile Personal File Boxes</t>
  </si>
  <si>
    <t>Post-it “Important Message” Note Pad, Neon Colors, 50 Sheets/Pad</t>
  </si>
  <si>
    <t>PowerGen Dual USB Car Charger</t>
  </si>
  <si>
    <t>Prang Colored Pencils</t>
  </si>
  <si>
    <t>Prang Drawing Pencil Set</t>
  </si>
  <si>
    <t>Prang Dustless Chalk Sticks</t>
  </si>
  <si>
    <t>Premier Automatic Letter Opener</t>
  </si>
  <si>
    <t>Premier Electric Letter Opener</t>
  </si>
  <si>
    <t>Premier Elliptical Ring Binder, Black</t>
  </si>
  <si>
    <t>Premium Transparent Presentation Covers by GBC</t>
  </si>
  <si>
    <t>Premium Transparent Presentation Covers, No Pattern/Clear, 8 1/2" x 11"</t>
  </si>
  <si>
    <t>Premium Writing Pencils, Soft, #2 by Central Association for the Blind</t>
  </si>
  <si>
    <t>Pressboard Covers with Storage Hooks, 9 1/2" x 11", Light Blue</t>
  </si>
  <si>
    <t>Pressboard Data Binder, Crimson, 12" X 8 1/2"</t>
  </si>
  <si>
    <t>Pressboard Data Binders by Wilson Jones</t>
  </si>
  <si>
    <t>Pressboard Hanging Data Binders for Unburst Sheets</t>
  </si>
  <si>
    <t>Presstex Flexible Ring Binders</t>
  </si>
  <si>
    <t>Prestige Round Ring Binders</t>
  </si>
  <si>
    <t>Prismacolor Color Pencil Set</t>
  </si>
  <si>
    <t>Project Tote Personal File</t>
  </si>
  <si>
    <t>PureGear Roll-On Screen Protector</t>
  </si>
  <si>
    <t>Pyle PMP37LED</t>
  </si>
  <si>
    <t>Pyle PRT45 Retro Home Telephone</t>
  </si>
  <si>
    <t>QVS USB Car Charger 2-Port 2.1Amp for iPod/iPhone/iPad/iPad 2/iPad 3</t>
  </si>
  <si>
    <t>Quality Park Security Envelopes</t>
  </si>
  <si>
    <t>Quartet Alpha White Chalk, 12/Pack</t>
  </si>
  <si>
    <t>Quartet Omega Colored Chalk, 12/Pack</t>
  </si>
  <si>
    <t>RCA H5401RE1 DECT 6.0 4-Line Cordless Handset With Caller ID/Call Waiting</t>
  </si>
  <si>
    <t>RCA ViSYS 25423RE1 Corded phone</t>
  </si>
  <si>
    <t>RCA ViSYS 25425RE1 Corded phone</t>
  </si>
  <si>
    <t>RCA ViSYS 25825 Wireless digital phone</t>
  </si>
  <si>
    <t>RCA Visys Integrated PBX 8-Line Router</t>
  </si>
  <si>
    <t>REDIFORM Incoming/Outgoing Call Register, 11" X 8 1/2", 100 Messages</t>
  </si>
  <si>
    <t>RSVP Cards &amp; Envelopes, Blank White, 8-1/2" X 11", 24 Cards/25 Envelopes/Set</t>
  </si>
  <si>
    <t>Razer Kraken 7.1 Surround Sound Over Ear USB Gaming Headset</t>
  </si>
  <si>
    <t>Razer Kraken PRO Over Ear PC and Music Headset</t>
  </si>
  <si>
    <t>Razer Tiamat Over Ear 7.1 Surround Sound PC Gaming Headset</t>
  </si>
  <si>
    <t>Recycled Data-Pak for Archival Bound Computer Printouts, 12-1/2 x 12-1/2 x 16</t>
  </si>
  <si>
    <t>Recycled Desk Saver Line "While You Were Out" Book, 5 1/2" X 4"</t>
  </si>
  <si>
    <t>Recycled Easel Ring Binders</t>
  </si>
  <si>
    <t>Recycled Eldon Regeneration Jumbo File</t>
  </si>
  <si>
    <t>Recycled Interoffice Envelopes with Re-Use-A-Seal Closure, 10 x 13</t>
  </si>
  <si>
    <t>Recycled Interoffice Envelopes with String and Button Closure, 10 x 13</t>
  </si>
  <si>
    <t>Recycled Premium Regency Composition Covers</t>
  </si>
  <si>
    <t>Recycled Pressboard Report Cover with Reinforced Top Hinge</t>
  </si>
  <si>
    <t>Recycled Steel Personal File for Hanging File Folders</t>
  </si>
  <si>
    <t>Recycled Steel Personal File for Standard File Folders</t>
  </si>
  <si>
    <t>Redi-Strip #10 Envelopes, 4 1/8 x 9 1/2</t>
  </si>
  <si>
    <t>Rediform S.O.S. 1-Up Phone Message Bk, 4-1/4x3-1/16 Bk, 1 Form/Pg, 40 Messages/Bk, 3/Pk</t>
  </si>
  <si>
    <t>Rediform S.O.S. Phone Message Books</t>
  </si>
  <si>
    <t>Rediform Voice Mail Log Books</t>
  </si>
  <si>
    <t>Rediform Wirebound "Phone Memo" Message Book, 11 x 5-3/4</t>
  </si>
  <si>
    <t>Regeneration Desk Collection</t>
  </si>
  <si>
    <t>Revere Boxed Rubber Bands by Revere</t>
  </si>
  <si>
    <t>Ricoh - Ink Collector Unit for GX3000 Series Printers</t>
  </si>
  <si>
    <t>Riverleaf Stik-Withit Designer Note Cubes</t>
  </si>
  <si>
    <t>Riverside Furniture Oval Coffee Table, Oval End Table, End Table with Drawer</t>
  </si>
  <si>
    <t>Riverside Furniture Stanwyck Manor Table Series</t>
  </si>
  <si>
    <t>Riverside Palais Royal Lawyers Bookcase, Royale Cherry Finish</t>
  </si>
  <si>
    <t>Rogers Deluxe File Chest</t>
  </si>
  <si>
    <t>Rogers Handheld Barrel Pencil Sharpener</t>
  </si>
  <si>
    <t>Rogers Jumbo File, Granite</t>
  </si>
  <si>
    <t>Rogers Profile Extra Capacity Storage Tub</t>
  </si>
  <si>
    <t>Rosewill 107 Normal Keys USB Wired Standard Keyboard</t>
  </si>
  <si>
    <t>Round Ring Binders</t>
  </si>
  <si>
    <t>Round Specialty Laser Printer Labels</t>
  </si>
  <si>
    <t>Rubber Band Ball</t>
  </si>
  <si>
    <t>Rubbermaid ClusterMat Chairmats, Mat Size- 66" x 60", Lip 20" x 11" -90 Degree Angle</t>
  </si>
  <si>
    <t>Rush Hierlooms Collection 1" Thick Stackable Bookcases</t>
  </si>
  <si>
    <t>Rush Hierlooms Collection Rich Wood Bookcases</t>
  </si>
  <si>
    <t>SAFCO Arco Folding Chair</t>
  </si>
  <si>
    <t>SAFCO Boltless Steel Shelving</t>
  </si>
  <si>
    <t>SAFCO Commercial Wire Shelving, 72h</t>
  </si>
  <si>
    <t>SAFCO Commercial Wire Shelving, Black</t>
  </si>
  <si>
    <t>SAFCO Folding Chair Trolley</t>
  </si>
  <si>
    <t>SAFCO Mobile Desk Side File, Wire Frame</t>
  </si>
  <si>
    <t>SAFCO Optional Arm Kit for Workspace Cribbage Stacking Chair</t>
  </si>
  <si>
    <t>SAFCO PlanMaster Boards, 60w x 37-1/2d, White Melamine</t>
  </si>
  <si>
    <t>SAFCO PlanMaster Heigh-Adjustable Drafting Table Base, 43w x 30d x 30-37h, Black</t>
  </si>
  <si>
    <t>SANFORD Liquid Accent Tank-Style Highlighters</t>
  </si>
  <si>
    <t>SANFORD Major Accent Highlighters</t>
  </si>
  <si>
    <t>SKILCRAFT Telephone Shoulder Rest, 2" x 6.5" x 2.5", Black</t>
  </si>
  <si>
    <t>Sabrent 4-Port USB 2.0 Hub</t>
  </si>
  <si>
    <t>Safco Chair Connectors, 6/Carton</t>
  </si>
  <si>
    <t>Safco Commercial Shelving</t>
  </si>
  <si>
    <t>Safco Contoured Stacking Chairs</t>
  </si>
  <si>
    <t>Safco Drafting Table</t>
  </si>
  <si>
    <t>Safco Industrial Shelving</t>
  </si>
  <si>
    <t>Safco Industrial Wire Shelving</t>
  </si>
  <si>
    <t>Safco Industrial Wire Shelving System</t>
  </si>
  <si>
    <t>Safco Steel Mobile File Cart</t>
  </si>
  <si>
    <t>Safco Value Mate Series Steel Bookcases, Baked Enamel Finish on Steel, Gray</t>
  </si>
  <si>
    <t>Safco Value Mate Steel Bookcase, Baked Enamel Finish on Steel, Black</t>
  </si>
  <si>
    <t>Safco Wire Cube Shelving System, For Use as 4 or 5 14" Cubes, Black</t>
  </si>
  <si>
    <t>Samsung Convoy 3</t>
  </si>
  <si>
    <t>Samsung Galaxy Mega 6.3</t>
  </si>
  <si>
    <t>Samsung Galaxy Note 2</t>
  </si>
  <si>
    <t>Samsung Galaxy Note 3</t>
  </si>
  <si>
    <t>Samsung Galaxy S III - 16GB - pebble blue (T-Mobile)</t>
  </si>
  <si>
    <t>Samsung Galaxy S4</t>
  </si>
  <si>
    <t>Samsung Galaxy S4 Active</t>
  </si>
  <si>
    <t>Samsung Galaxy S4 Mini</t>
  </si>
  <si>
    <t>Samsung HM1900 Bluetooth Headset</t>
  </si>
  <si>
    <t>Samsung Replacement EH64AVFWE Premium Headset</t>
  </si>
  <si>
    <t>Samsung Rugby III</t>
  </si>
  <si>
    <t>SanDisk Cruzer 16 GB USB Flash Drive</t>
  </si>
  <si>
    <t>SanDisk Cruzer 32 GB USB Flash Drive</t>
  </si>
  <si>
    <t>SanDisk Cruzer 4 GB USB Flash Drive</t>
  </si>
  <si>
    <t>SanDisk Cruzer 64 GB USB Flash Drive</t>
  </si>
  <si>
    <t>SanDisk Cruzer 8 GB USB Flash Drive</t>
  </si>
  <si>
    <t>SanDisk Ultra 16 GB MicroSDHC Class 10 Memory Card</t>
  </si>
  <si>
    <t>SanDisk Ultra 32 GB MicroSDHC Class 10 Memory Card</t>
  </si>
  <si>
    <t>SanDisk Ultra 64 GB MicroSDHC Class 10 Memory Card</t>
  </si>
  <si>
    <t>Sanford 52201 APSCO Electric Pencil Sharpener</t>
  </si>
  <si>
    <t>Sanford Colorific Colored Pencils, 12/Box</t>
  </si>
  <si>
    <t>Sanford Colorific Eraseable Coloring Pencils, 12 Count</t>
  </si>
  <si>
    <t>Sanford Colorific Scented Colored Pencils, 12/Pack</t>
  </si>
  <si>
    <t>Sanford EarthWrite Recycled Pencils, Medium Soft, #2</t>
  </si>
  <si>
    <t>Sanford Liquid Accent Highlighters</t>
  </si>
  <si>
    <t>Sanford Pocket Accent Highlighters</t>
  </si>
  <si>
    <t>Sanford Prismacolor Professional Thick Lead Art Pencils, 36-Color Set</t>
  </si>
  <si>
    <t>Sanford Uni-Blazer View Highlighters, Chisel Tip, Yellow</t>
  </si>
  <si>
    <t>Sanitaire Vibra Groomer IR Commercial Upright Vacuum, Replacement Belts</t>
  </si>
  <si>
    <t>Sannysis Cute Owl Design Soft Skin Case Cover for Samsung Galaxy S4</t>
  </si>
  <si>
    <t>Sanyo 2.5 Cubic Foot Mid-Size Office Refrigerators</t>
  </si>
  <si>
    <t>Sanyo Counter Height Refrigerator with Crisper, 3.6 Cubic Foot, Stainless Steel/Black</t>
  </si>
  <si>
    <t>Satellite Sectional Post Binders</t>
  </si>
  <si>
    <t>Sauder Barrister Bookcases</t>
  </si>
  <si>
    <t>Sauder Camden County Barrister Bookcase, Planked Cherry Finish</t>
  </si>
  <si>
    <t>Sauder Camden County Collection Libraries, Planked Cherry Finish</t>
  </si>
  <si>
    <t>Sauder Camden County Collection Library</t>
  </si>
  <si>
    <t>Sauder Cornerstone Collection Library</t>
  </si>
  <si>
    <t>Sauder Facets Collection Library, Sky Alder Finish</t>
  </si>
  <si>
    <t>Sauder Facets Collection Locker/File Cabinet, Sky Alder Finish</t>
  </si>
  <si>
    <t>Sauder Forest Hills Library with Doors, Woodland Oak Finish</t>
  </si>
  <si>
    <t>Sauder Forest Hills Library, Woodland Oak Finish</t>
  </si>
  <si>
    <t>Sauder Inglewood Library Bookcases</t>
  </si>
  <si>
    <t>Sauder Mission Library with Doors, Fruitwood Finish</t>
  </si>
  <si>
    <t>Security-Tint Envelopes</t>
  </si>
  <si>
    <t>Seidio BD2-HK3IPH5-BK DILEX Case and Holster Combo for Apple iPhone 5/5s - Black</t>
  </si>
  <si>
    <t>Self-Adhesive Address Labels for Typewriters by Universal</t>
  </si>
  <si>
    <t>Self-Adhesive Address Labels for Typewriters with Dispenser Box</t>
  </si>
  <si>
    <t>Self-Adhesive Removable Labels</t>
  </si>
  <si>
    <t>Self-Adhesive Ring Binder Labels</t>
  </si>
  <si>
    <t>Sensible Storage WireTech Storage Systems</t>
  </si>
  <si>
    <t>Serrated Blade or Curved Handle Hand Letter Openers</t>
  </si>
  <si>
    <t>Seth Thomas 12" Clock w/ Goldtone Case</t>
  </si>
  <si>
    <t>Seth Thomas 13 1/2" Wall Clock</t>
  </si>
  <si>
    <t>Seth Thomas 14" Day/Date Wall Clock</t>
  </si>
  <si>
    <t>Seth Thomas 14" Putty-Colored Wall Clock</t>
  </si>
  <si>
    <t>Seth Thomas 16" Steel Case Clock</t>
  </si>
  <si>
    <t>Seth Thomas 8 1/2" Cubicle Clock</t>
  </si>
  <si>
    <t>Sharp 1540cs Digital Laser Copier</t>
  </si>
  <si>
    <t>Sharp AL-1530CS Digital Copier</t>
  </si>
  <si>
    <t>Shocksock Galaxy S4 Armband</t>
  </si>
  <si>
    <t>ShoreTel ShorePhone IP 230 VoIP phone</t>
  </si>
  <si>
    <t>SimpliFile Personal File, Black Granite, 15w x 6-15/16d x 11-1/4h</t>
  </si>
  <si>
    <t>Situations Contoured Folding Chairs, 4/Set</t>
  </si>
  <si>
    <t>SlimView Poly Binder, 3/8"</t>
  </si>
  <si>
    <t>SmartStand Mobile Device Holder, Assorted Colors</t>
  </si>
  <si>
    <t>Smead Adjustable Mobile File Trolley with Lockable Top</t>
  </si>
  <si>
    <t>Smead Alpha-Z Color-Coded Name Labels First Letter Starter Set</t>
  </si>
  <si>
    <t>Smead Alpha-Z Color-Coded Second Alphabetical Labels and Starter Set</t>
  </si>
  <si>
    <t>Snap-A-Way Black Print Carbonless Ruled Speed Letter, Triplicate</t>
  </si>
  <si>
    <t>Snap-A-Way Black Print Carbonless Speed Message, No Reply Area, Duplicate</t>
  </si>
  <si>
    <t>Socket Bluetooth Cordless Hand Scanner (CHS)</t>
  </si>
  <si>
    <t>Sony 16GB Class 10 Micro SDHC R40 Memory Card</t>
  </si>
  <si>
    <t>Sony 32GB Class 10 Micro SDHC R40 Memory Card</t>
  </si>
  <si>
    <t>Sony 64GB Class 10 Micro SDHC R40 Memory Card</t>
  </si>
  <si>
    <t>Sony 8GB Class 10 Micro SDHC R40 Memory Card</t>
  </si>
  <si>
    <t>Sony Micro Vault Click 16 GB USB 2.0 Flash Drive</t>
  </si>
  <si>
    <t>Sony Micro Vault Click 4 GB USB 2.0 Flash Drive</t>
  </si>
  <si>
    <t>Sony Micro Vault Click 8 GB USB 2.0 Flash Drive</t>
  </si>
  <si>
    <t>Sortfiler Multipurpose Personal File Organizer, Black</t>
  </si>
  <si>
    <t>Southworth 100% Cotton The Best Paper</t>
  </si>
  <si>
    <t>Southworth 100% Résumé Paper, 24lb.</t>
  </si>
  <si>
    <t>Southworth 25% Cotton Antique Laid Paper &amp; Envelopes</t>
  </si>
  <si>
    <t>Southworth 25% Cotton Granite Paper &amp; Envelopes</t>
  </si>
  <si>
    <t>Southworth 25% Cotton Linen-Finish Paper &amp; Envelopes</t>
  </si>
  <si>
    <t>Southworth 25% Cotton Premium Laser Paper and Envelopes</t>
  </si>
  <si>
    <t>Southworth Parchment Paper &amp; Envelopes</t>
  </si>
  <si>
    <t>Southworth Structures Collection</t>
  </si>
  <si>
    <t>Space Solutions Commercial Steel Shelving</t>
  </si>
  <si>
    <t>Space Solutions HD Industrial Steel Shelving.</t>
  </si>
  <si>
    <t>Space Solutions Industrial Galvanized Steel Shelving.</t>
  </si>
  <si>
    <t>Speck Products Candyshell Flip Case</t>
  </si>
  <si>
    <t>Speediset Carbonless Redi-Letter 7" x 8 1/2"</t>
  </si>
  <si>
    <t>Spigen Samsung Galaxy S5 Case Wallet</t>
  </si>
  <si>
    <t>SpineVue Locking Slant-D Ring Binders by Cardinal</t>
  </si>
  <si>
    <t>Spiral Phone Message Books with Labels by Adams</t>
  </si>
  <si>
    <t>Square Credit Card Reader</t>
  </si>
  <si>
    <t>Square Credit Card Reader, 4 1/2" x 4 1/2" x 1", White</t>
  </si>
  <si>
    <t>Square Ring Data Binders, Rigid 75 Pt. Covers, 11" x 14-7/8"</t>
  </si>
  <si>
    <t>Stackable Trays</t>
  </si>
  <si>
    <t>Stacking Tray, Side-Loading, Legal, Smoke</t>
  </si>
  <si>
    <t>Stacking Trays by OIC</t>
  </si>
  <si>
    <t>Standard Line “While You Were Out” Hardbound Telephone Message Book</t>
  </si>
  <si>
    <t>Standard Rollaway File with Lock</t>
  </si>
  <si>
    <t>Stanley Bostitch Contemporary Electric Pencil Sharpeners</t>
  </si>
  <si>
    <t>Stanley Contemporary Battery Pencil Sharpeners</t>
  </si>
  <si>
    <t>Staple envelope</t>
  </si>
  <si>
    <t>Staple holder</t>
  </si>
  <si>
    <t>Staple magnet</t>
  </si>
  <si>
    <t>Staple remover</t>
  </si>
  <si>
    <t>Staple-based wall hangings</t>
  </si>
  <si>
    <t>Staple-on labels</t>
  </si>
  <si>
    <t>Staples</t>
  </si>
  <si>
    <t>Staples in misc. colors</t>
  </si>
  <si>
    <t>Star Micronics TSP100 TSP143LAN Receipt Printer</t>
  </si>
  <si>
    <t>Star Micronics TSP800 TSP847IIU Receipt Printer</t>
  </si>
  <si>
    <t>StarTech.com 10/100 VDSL2 Ethernet Extender Kit</t>
  </si>
  <si>
    <t>Steel Personal Filing/Posting Tote</t>
  </si>
  <si>
    <t>Sterilite Officeware Hinged File Box</t>
  </si>
  <si>
    <t>Sterilite Show Offs Storage Containers</t>
  </si>
  <si>
    <t>Sterling Rubber Bands by Alliance</t>
  </si>
  <si>
    <t>Stiletto Hand Letter Openers</t>
  </si>
  <si>
    <t>Stockwell Gold Paper Clips</t>
  </si>
  <si>
    <t>Stockwell Push Pins</t>
  </si>
  <si>
    <t>Storex Dura Pro Binders</t>
  </si>
  <si>
    <t>Storex DuraTech Recycled Plastic Frosted Binders</t>
  </si>
  <si>
    <t>Storex Flexible Poly Binders with Double Pockets</t>
  </si>
  <si>
    <t>Strathmore #10 Envelopes, Ultimate White</t>
  </si>
  <si>
    <t>Strathmore Photo Frame Cards</t>
  </si>
  <si>
    <t>Strathmore Photo Mount Cards</t>
  </si>
  <si>
    <t>Stride Job 150 Highlighters, Chisel Tip, Assorted Colors</t>
  </si>
  <si>
    <t>Stur-D-Stor Shelving, Vertical 5-Shelf: 72"H x 36"W x 18 1/2"D</t>
  </si>
  <si>
    <t>Super Bands, 12/Pack</t>
  </si>
  <si>
    <t>Super Decoflex Portable Personal File</t>
  </si>
  <si>
    <t>Surelock Post Binders</t>
  </si>
  <si>
    <t>Swingline SM12-08 MicroCut Jam Free Shredder</t>
  </si>
  <si>
    <t>TOPS "Important Message" Pads, Canary, 4-1/4 x 5-1/2, 50 Sheets per Pad</t>
  </si>
  <si>
    <t>TOPS 4 x 6 Fluorescent Color Memo Sheets, 500 Sheets per Pack</t>
  </si>
  <si>
    <t>TOPS Carbonless Receipt Book, Four 2-3/4 x 7-1/4 Money Receipts per Page</t>
  </si>
  <si>
    <t>TOPS Money Receipt Book, Consecutively Numbered in Red,</t>
  </si>
  <si>
    <t>TOPS Voice Message Log Book, Flash Format</t>
  </si>
  <si>
    <t>TRENDnet 56K USB 2.0 Phone, Internet and Fax Modem</t>
  </si>
  <si>
    <t>Telephone Message Books with Fax/Mobile Section, 4 1/4" x 6"</t>
  </si>
  <si>
    <t>Telephone Message Books with Fax/Mobile Section, 5 1/2" x 3 3/16"</t>
  </si>
  <si>
    <t>Telescoping Adjustable Floor Lamp</t>
  </si>
  <si>
    <t>Tenex "The Solids" Textured Chair Mats</t>
  </si>
  <si>
    <t>Tenex 46" x 60" Computer Anti-Static Chairmat, Rectangular Shaped</t>
  </si>
  <si>
    <t>Tenex Antistatic Computer Chair Mats</t>
  </si>
  <si>
    <t>Tenex B1-RE Series Chair Mats for Low Pile Carpets</t>
  </si>
  <si>
    <t>Tenex Carpeted, Granite-Look or Clear Contemporary Contour Shape Chair Mats</t>
  </si>
  <si>
    <t>Tenex Chairmat w/ Average Lip, 45" x 53"</t>
  </si>
  <si>
    <t>Tenex Chairmats For Use With Carpeted Floors</t>
  </si>
  <si>
    <t>Tenex Chairmats For Use with Hard Floors</t>
  </si>
  <si>
    <t>Tenex Contemporary Contur Chairmats for Low and Medium Pile Carpet, Computer, 39" x 49"</t>
  </si>
  <si>
    <t>Tenex File Box, Personal Filing Tote with Lid, Black</t>
  </si>
  <si>
    <t>Tenex Personal Filing Tote With Secure Closure Lid, Black/Frost</t>
  </si>
  <si>
    <t>Tenex Personal Project File with Scoop Front Design, Black</t>
  </si>
  <si>
    <t>Tenex Personal Self-Stacking Standard File Box, Black/Gray</t>
  </si>
  <si>
    <t>Tenex Traditional Chairmats for Hard Floors, Average Lip, 36" x 48"</t>
  </si>
  <si>
    <t>Tenex Traditional Chairmats for Medium Pile Carpet, Standard Lip, 36" x 48"</t>
  </si>
  <si>
    <t>Tenex V2T-RE Standard Weight Series Chair Mat, 45" x 53", Lip 25" x 12"</t>
  </si>
  <si>
    <t>Tennsco 16-Compartment Lockers with Coat Rack</t>
  </si>
  <si>
    <t>Tennsco 6- and 18-Compartment Lockers</t>
  </si>
  <si>
    <t>Tennsco Commercial Shelving</t>
  </si>
  <si>
    <t>Tennsco Double-Tier Lockers</t>
  </si>
  <si>
    <t>Tennsco Industrial Shelving</t>
  </si>
  <si>
    <t>Tennsco Lockers, Gray</t>
  </si>
  <si>
    <t>Tennsco Lockers, Sand</t>
  </si>
  <si>
    <t>Tennsco Regal Shelving Units</t>
  </si>
  <si>
    <t>Tennsco Single-Tier Lockers</t>
  </si>
  <si>
    <t>Tennsco Snap-Together Open Shelving Units, Starter Sets and Add-On Units</t>
  </si>
  <si>
    <t>Tennsco Stur-D-Stor Boltless Shelving, 5 Shelves, 24" Deep, Sand</t>
  </si>
  <si>
    <t>Tensor "Hersey Kiss" Styled Floor Lamp</t>
  </si>
  <si>
    <t>Tensor Brushed Steel Torchiere Floor Lamp</t>
  </si>
  <si>
    <t>Tensor Computer Mounted Lamp</t>
  </si>
  <si>
    <t>Tensor Track Tree Floor Lamp</t>
  </si>
  <si>
    <t>Texas Instrument TI-15 Fraction Calculator</t>
  </si>
  <si>
    <t>Texas Instruments TI-34 Scientific Calculator</t>
  </si>
  <si>
    <t>Things To Do Today Pad</t>
  </si>
  <si>
    <t>Things To Do Today Spiral Book</t>
  </si>
  <si>
    <t>Tops Green Bar Computer Printout Paper</t>
  </si>
  <si>
    <t>Tops White Computer Printout Paper</t>
  </si>
  <si>
    <t>Tops Wirebound Message Log Books</t>
  </si>
  <si>
    <t>Toshiba IPT2010-SD IP Telephone</t>
  </si>
  <si>
    <t>Translucent Push Pins by OIC</t>
  </si>
  <si>
    <t>Trav-L-File Heavy-Duty Shuttle II, Black</t>
  </si>
  <si>
    <t>Trimflex Flexible Post Binders</t>
  </si>
  <si>
    <t>Tripp Lite Isotel 6 Outlet Surge Protector with Fax/Modem Protection</t>
  </si>
  <si>
    <t>Tripp Lite Isotel 8 Ultra 8 Outlet Metal Surge</t>
  </si>
  <si>
    <t>Tripp Lite TLP810NET Broadband Surge for Modem/Fax</t>
  </si>
  <si>
    <t>Tuf-Vin Binders</t>
  </si>
  <si>
    <t>Tuff Stuff Recycled Round Ring Binders</t>
  </si>
  <si>
    <t>Turquoise Lead Holder with Pocket Clip</t>
  </si>
  <si>
    <t>Tyvek  Top-Opening Peel &amp; Seel  Envelopes, Gray</t>
  </si>
  <si>
    <t>Tyvek  Top-Opening Peel &amp; Seel Envelopes, Plain White</t>
  </si>
  <si>
    <t>Tyvek Interoffice Envelopes, 9 1/2" x 12 1/2", 100/Box</t>
  </si>
  <si>
    <t>Tyvek Side-Opening Peel &amp; Seel Expanding Envelopes</t>
  </si>
  <si>
    <t>Ultra Commercial Grade Dual Valve Door Closer</t>
  </si>
  <si>
    <t>Ultra Door Kickplate, 8"H x 34"W</t>
  </si>
  <si>
    <t>Ultra Door Pull Handle</t>
  </si>
  <si>
    <t>Ultra Door Push Plate</t>
  </si>
  <si>
    <t>UniKeep View Case Binders</t>
  </si>
  <si>
    <t>Universal Premium White Copier/Laser Paper (20Lb. and 87 Bright)</t>
  </si>
  <si>
    <t>Universal Recycled Hanging Pressboard Report Binders, Letter Size</t>
  </si>
  <si>
    <t>Universal Ultra Bright White Copier/Laser Paper, 8 1/2" x 11", Ream</t>
  </si>
  <si>
    <t>Unpadded Memo Slips</t>
  </si>
  <si>
    <t>V7 USB Numeric Keypad</t>
  </si>
  <si>
    <t>VTech DS6151</t>
  </si>
  <si>
    <t>VariCap6 Expandable Binder</t>
  </si>
  <si>
    <t>Verbatim 25 GB 6x Blu-ray Single Layer Recordable Disc, 1/Pack</t>
  </si>
  <si>
    <t>Verbatim 25 GB 6x Blu-ray Single Layer Recordable Disc, 10/Pack</t>
  </si>
  <si>
    <t>Verbatim 25 GB 6x Blu-ray Single Layer Recordable Disc, 25/Pack</t>
  </si>
  <si>
    <t>Verbatim 25 GB 6x Blu-ray Single Layer Recordable Disc, 3/Pack</t>
  </si>
  <si>
    <t>Verbatim Slim CD and DVD Storage Cases, 50/Pack</t>
  </si>
  <si>
    <t>Vinyl Coated Wire Paper Clips in Organizer Box, 800/Box</t>
  </si>
  <si>
    <t>Vinyl Sectional Post Binders</t>
  </si>
  <si>
    <t>Vtech AT&amp;T CL2940 Corded Speakerphone, Black</t>
  </si>
  <si>
    <t>Vtech CS6719</t>
  </si>
  <si>
    <t>WD My Passport Ultra 1TB Portable External Hard Drive</t>
  </si>
  <si>
    <t>WD My Passport Ultra 2TB Portable External Hard Drive</t>
  </si>
  <si>
    <t>WD My Passport Ultra 500GB Portable External Hard Drive</t>
  </si>
  <si>
    <t>Wasp CCD Handheld Bar Code Reader</t>
  </si>
  <si>
    <t>Wausau Papers Astrobrights Colored Envelopes</t>
  </si>
  <si>
    <t>Westinghouse Clip-On Gooseneck Lamps</t>
  </si>
  <si>
    <t>Westinghouse Floor Lamp with Metal Mesh Shade, Black</t>
  </si>
  <si>
    <t>Westinghouse Mesh Shade Clip-On Gooseneck Lamp, Black</t>
  </si>
  <si>
    <t>Weyerhaeuser First Choice Laser/Copy Paper (20Lb. and 88 Bright)</t>
  </si>
  <si>
    <t>While You Were Out Pads, 50 per Pad, 4 x 5 1/4, Green Cycle</t>
  </si>
  <si>
    <t>White Business Envelopes with Contemporary Seam, Recycled White Business Envelopes</t>
  </si>
  <si>
    <t>White Computer Printout Paper by Universal</t>
  </si>
  <si>
    <t>White Dual Perf Computer Printout Paper, 2700 Sheets, 1 Part, Heavyweight, 20 lbs., 14 7/8 x 11</t>
  </si>
  <si>
    <t>White Envelopes, White Envelopes with Clear Poly Window</t>
  </si>
  <si>
    <t>White GlueTop Scratch Pads</t>
  </si>
  <si>
    <t>Wi-Ex zBoost YX540 Cellular Phone Signal Booster</t>
  </si>
  <si>
    <t>Wilson Electronics DB Pro Signal Booster</t>
  </si>
  <si>
    <t>Wilson Jones 1" Hanging DublLock Ring Binders</t>
  </si>
  <si>
    <t>Wilson Jones 14 Line Acrylic Coated Pressboard Data Binders</t>
  </si>
  <si>
    <t>Wilson Jones Active Use Binders</t>
  </si>
  <si>
    <t>Wilson Jones Century Plastic Molded Ring Binders</t>
  </si>
  <si>
    <t>Wilson Jones Clip &amp; Carry Folder Binder Tool for Ring Binders, Clear</t>
  </si>
  <si>
    <t>Wilson Jones Custom Binder Spines &amp; Labels</t>
  </si>
  <si>
    <t>Wilson Jones DublLock D-Ring Binders</t>
  </si>
  <si>
    <t>Wilson Jones Easy Flow II Sheet Lifters</t>
  </si>
  <si>
    <t>Wilson Jones Elliptical Ring 3 1/2" Capacity Binders, 800 sheets</t>
  </si>
  <si>
    <t>Wilson Jones Four-Pocket Poly Binders</t>
  </si>
  <si>
    <t>Wilson Jones Hanging Recycled Pressboard Data Binders</t>
  </si>
  <si>
    <t>Wilson Jones Hanging View Binder, White, 1"</t>
  </si>
  <si>
    <t>Wilson Jones Heavy-Duty Casebound Ring Binders with Metal Hinges</t>
  </si>
  <si>
    <t>Wilson Jones Impact Binders</t>
  </si>
  <si>
    <t>Wilson Jones International Size A4 Ring Binders</t>
  </si>
  <si>
    <t>Wilson Jones Leather-Like Binders with DublLock Round Rings</t>
  </si>
  <si>
    <t>Wilson Jones Ledger-Size, Piano-Hinge Binder, 2", Blue</t>
  </si>
  <si>
    <t>Wilson Jones Legal Size Ring Binders</t>
  </si>
  <si>
    <t>Wilson Jones Standard D-Ring Binders</t>
  </si>
  <si>
    <t>Wilson Jones Suede Grain Vinyl Binders</t>
  </si>
  <si>
    <t>Wilson Jones Turn Tabs Binder Tool for Ring Binders</t>
  </si>
  <si>
    <t>Wilson Jones data.warehouse D-Ring Binders with DublLock</t>
  </si>
  <si>
    <t>Wilson Jones “Snap” Scratch Pad Binder Tool for Ring Binders</t>
  </si>
  <si>
    <t>Wilson SignalBoost 841262 DB PRO Amplifier Kit</t>
  </si>
  <si>
    <t>Wirebound Four 2-3/4 x 5 Forms per Page, 400 Sets per Book</t>
  </si>
  <si>
    <t>Wirebound Message Book, 4 per Page</t>
  </si>
  <si>
    <t>Wirebound Message Books, 2 7/8" x 5", 3 Forms per Page</t>
  </si>
  <si>
    <t>Wirebound Message Books, 5-1/2 x 4 Forms, 2 or 4 Forms per Page</t>
  </si>
  <si>
    <t>Wirebound Message Books, Four 2 3/4 x 5 Forms per Page, 200 Sets per Book</t>
  </si>
  <si>
    <t>Wirebound Message Books, Four 2 3/4 x 5 White Forms per Page</t>
  </si>
  <si>
    <t>Wirebound Message Books, Four 2 3/4" x 5" Forms per Page, 600 Sets per Book</t>
  </si>
  <si>
    <t>Wirebound Message Books, Two 4 1/4" x 5" Forms per Page</t>
  </si>
  <si>
    <t>Wirebound Message Forms, Four 2 3/4 x 5 Forms per Page, Pink Paper</t>
  </si>
  <si>
    <t>Wirebound Service Call Books, 5 1/2" x 4"</t>
  </si>
  <si>
    <t>Wirebound Voice Message Log Book</t>
  </si>
  <si>
    <t>Wireless Extenders zBoost YX545 SOHO Signal Booster</t>
  </si>
  <si>
    <t>Woodgrain Magazine Files by Perma</t>
  </si>
  <si>
    <t>X-Rack File for Hanging Folders</t>
  </si>
  <si>
    <t>Xblue XB-1670-86 X16 Small Office Telephone - Titanium</t>
  </si>
  <si>
    <t>Xerox 188</t>
  </si>
  <si>
    <t>Xerox 1880</t>
  </si>
  <si>
    <t>Xerox 1881</t>
  </si>
  <si>
    <t>Xerox 1882</t>
  </si>
  <si>
    <t>Xerox 1883</t>
  </si>
  <si>
    <t>Xerox 1884</t>
  </si>
  <si>
    <t>Xerox 1885</t>
  </si>
  <si>
    <t>Xerox 1886</t>
  </si>
  <si>
    <t>Xerox 1887</t>
  </si>
  <si>
    <t>Xerox 1888</t>
  </si>
  <si>
    <t>Xerox 1889</t>
  </si>
  <si>
    <t>Xerox 189</t>
  </si>
  <si>
    <t>Xerox 1890</t>
  </si>
  <si>
    <t>Xerox 1891</t>
  </si>
  <si>
    <t>Xerox 1892</t>
  </si>
  <si>
    <t>Xerox 1893</t>
  </si>
  <si>
    <t>Xerox 1894</t>
  </si>
  <si>
    <t>Xerox 1895</t>
  </si>
  <si>
    <t>Xerox 1896</t>
  </si>
  <si>
    <t>Xerox 1897</t>
  </si>
  <si>
    <t>Xerox 1898</t>
  </si>
  <si>
    <t>Xerox 1899</t>
  </si>
  <si>
    <t>Xerox 19</t>
  </si>
  <si>
    <t>Xerox 190</t>
  </si>
  <si>
    <t>Xerox 1900</t>
  </si>
  <si>
    <t>Xerox 1901</t>
  </si>
  <si>
    <t>Xerox 1902</t>
  </si>
  <si>
    <t>Xerox 1903</t>
  </si>
  <si>
    <t>Xerox 1905</t>
  </si>
  <si>
    <t>Xerox 1906</t>
  </si>
  <si>
    <t>Xerox 1907</t>
  </si>
  <si>
    <t>Xerox 1908</t>
  </si>
  <si>
    <t>Xerox 1909</t>
  </si>
  <si>
    <t>Xerox 191</t>
  </si>
  <si>
    <t>Xerox 1910</t>
  </si>
  <si>
    <t>Xerox 1911</t>
  </si>
  <si>
    <t>Xerox 1912</t>
  </si>
  <si>
    <t>Xerox 1913</t>
  </si>
  <si>
    <t>Xerox 1914</t>
  </si>
  <si>
    <t>Xerox 1915</t>
  </si>
  <si>
    <t>Xerox 1916</t>
  </si>
  <si>
    <t>Xerox 1917</t>
  </si>
  <si>
    <t>Xerox 1918</t>
  </si>
  <si>
    <t>Xerox 1919</t>
  </si>
  <si>
    <t>Xerox 192</t>
  </si>
  <si>
    <t>Xerox 1920</t>
  </si>
  <si>
    <t>Xerox 1921</t>
  </si>
  <si>
    <t>Xerox 1922</t>
  </si>
  <si>
    <t>Xerox 1923</t>
  </si>
  <si>
    <t>Xerox 1924</t>
  </si>
  <si>
    <t>Xerox 1925</t>
  </si>
  <si>
    <t>Xerox 1926</t>
  </si>
  <si>
    <t>Xerox 1927</t>
  </si>
  <si>
    <t>Xerox 1928</t>
  </si>
  <si>
    <t>Xerox 1929</t>
  </si>
  <si>
    <t>Xerox 193</t>
  </si>
  <si>
    <t>Xerox 1930</t>
  </si>
  <si>
    <t>Xerox 1931</t>
  </si>
  <si>
    <t>Xerox 1932</t>
  </si>
  <si>
    <t>Xerox 1933</t>
  </si>
  <si>
    <t>Xerox 1934</t>
  </si>
  <si>
    <t>Xerox 1935</t>
  </si>
  <si>
    <t>Xerox 1936</t>
  </si>
  <si>
    <t>Xerox 1937</t>
  </si>
  <si>
    <t>Xerox 1938</t>
  </si>
  <si>
    <t>Xerox 1939</t>
  </si>
  <si>
    <t>Xerox 194</t>
  </si>
  <si>
    <t>Xerox 1940</t>
  </si>
  <si>
    <t>Xerox 1941</t>
  </si>
  <si>
    <t>Xerox 1942</t>
  </si>
  <si>
    <t>Xerox 1943</t>
  </si>
  <si>
    <t>Xerox 1944</t>
  </si>
  <si>
    <t>Xerox 1945</t>
  </si>
  <si>
    <t>Xerox 1946</t>
  </si>
  <si>
    <t>Xerox 1947</t>
  </si>
  <si>
    <t>Xerox 1948</t>
  </si>
  <si>
    <t>Xerox 1949</t>
  </si>
  <si>
    <t>Xerox 195</t>
  </si>
  <si>
    <t>Xerox 1950</t>
  </si>
  <si>
    <t>Xerox 1951</t>
  </si>
  <si>
    <t>Xerox 1952</t>
  </si>
  <si>
    <t>Xerox 1953</t>
  </si>
  <si>
    <t>Xerox 1954</t>
  </si>
  <si>
    <t>Xerox 1955</t>
  </si>
  <si>
    <t>Xerox 1956</t>
  </si>
  <si>
    <t>Xerox 1957</t>
  </si>
  <si>
    <t>Xerox 1958</t>
  </si>
  <si>
    <t>Xerox 1959</t>
  </si>
  <si>
    <t>Xerox 196</t>
  </si>
  <si>
    <t>Xerox 1960</t>
  </si>
  <si>
    <t>Xerox 1962</t>
  </si>
  <si>
    <t>Xerox 1963</t>
  </si>
  <si>
    <t>Xerox 1964</t>
  </si>
  <si>
    <t>Xerox 1965</t>
  </si>
  <si>
    <t>Xerox 1966</t>
  </si>
  <si>
    <t>Xerox 1967</t>
  </si>
  <si>
    <t>Xerox 1968</t>
  </si>
  <si>
    <t>Xerox 1969</t>
  </si>
  <si>
    <t>Xerox 197</t>
  </si>
  <si>
    <t>Xerox 1970</t>
  </si>
  <si>
    <t>Xerox 1971</t>
  </si>
  <si>
    <t>Xerox 1972</t>
  </si>
  <si>
    <t>Xerox 1973</t>
  </si>
  <si>
    <t>Xerox 1974</t>
  </si>
  <si>
    <t>Xerox 1975</t>
  </si>
  <si>
    <t>Xerox 1976</t>
  </si>
  <si>
    <t>Xerox 1977</t>
  </si>
  <si>
    <t>Xerox 1978</t>
  </si>
  <si>
    <t>Xerox 1979</t>
  </si>
  <si>
    <t>Xerox 198</t>
  </si>
  <si>
    <t>Xerox 1980</t>
  </si>
  <si>
    <t>Xerox 1981</t>
  </si>
  <si>
    <t>Xerox 1982</t>
  </si>
  <si>
    <t>Xerox 1983</t>
  </si>
  <si>
    <t>Xerox 1984</t>
  </si>
  <si>
    <t>Xerox 1985</t>
  </si>
  <si>
    <t>Xerox 1986</t>
  </si>
  <si>
    <t>Xerox 1987</t>
  </si>
  <si>
    <t>Xerox 1988</t>
  </si>
  <si>
    <t>Xerox 1989</t>
  </si>
  <si>
    <t>Xerox 199</t>
  </si>
  <si>
    <t>Xerox 1990</t>
  </si>
  <si>
    <t>Xerox 1991</t>
  </si>
  <si>
    <t>Xerox 1992</t>
  </si>
  <si>
    <t>Xerox 1993</t>
  </si>
  <si>
    <t>Xerox 1994</t>
  </si>
  <si>
    <t>Xerox 1995</t>
  </si>
  <si>
    <t>Xerox 1996</t>
  </si>
  <si>
    <t>Xerox 1997</t>
  </si>
  <si>
    <t>Xerox 1998</t>
  </si>
  <si>
    <t>Xerox 1999</t>
  </si>
  <si>
    <t>Xerox 2</t>
  </si>
  <si>
    <t>Xerox 20</t>
  </si>
  <si>
    <t>Xerox 200</t>
  </si>
  <si>
    <t>Xerox 2000</t>
  </si>
  <si>
    <t>Xerox 201</t>
  </si>
  <si>
    <t>Xerox 202</t>
  </si>
  <si>
    <t>Xerox 203</t>
  </si>
  <si>
    <t>Xerox 204</t>
  </si>
  <si>
    <t>Xerox 205</t>
  </si>
  <si>
    <t>Xerox 206</t>
  </si>
  <si>
    <t>Xerox 207</t>
  </si>
  <si>
    <t>Xerox 208</t>
  </si>
  <si>
    <t>Xerox 209</t>
  </si>
  <si>
    <t>Xerox 21</t>
  </si>
  <si>
    <t>Xerox 210</t>
  </si>
  <si>
    <t>Xerox 211</t>
  </si>
  <si>
    <t>Xerox 212</t>
  </si>
  <si>
    <t>Xerox 213</t>
  </si>
  <si>
    <t>Xerox 214</t>
  </si>
  <si>
    <t>Xerox 215</t>
  </si>
  <si>
    <t>Xerox 216</t>
  </si>
  <si>
    <t>Xerox 217</t>
  </si>
  <si>
    <t>Xerox 218</t>
  </si>
  <si>
    <t>Xerox 219</t>
  </si>
  <si>
    <t>Xerox 22</t>
  </si>
  <si>
    <t>Xerox 220</t>
  </si>
  <si>
    <t>Xerox 221</t>
  </si>
  <si>
    <t>Xerox 222</t>
  </si>
  <si>
    <t>Xerox 223</t>
  </si>
  <si>
    <t>Xerox 224</t>
  </si>
  <si>
    <t>Xerox 225</t>
  </si>
  <si>
    <t>Xerox 226</t>
  </si>
  <si>
    <t>Xerox 227</t>
  </si>
  <si>
    <t>Xerox 228</t>
  </si>
  <si>
    <t>Xerox 229</t>
  </si>
  <si>
    <t>Xerox 23</t>
  </si>
  <si>
    <t>Xerox 230</t>
  </si>
  <si>
    <t>Xerox 231</t>
  </si>
  <si>
    <t>Xerox 232</t>
  </si>
  <si>
    <t>Xerox 4200 Series MultiUse Premium Copy Paper (20Lb. and 84 Bright)</t>
  </si>
  <si>
    <t>Xerox Blank Computer Paper</t>
  </si>
  <si>
    <t>Xerox Color Copier Paper, 11" x 17", Ream</t>
  </si>
  <si>
    <t>Xerox WorkCentre 6505DN Laser Multifunction Printer</t>
  </si>
  <si>
    <t>Xiaomi Mi3</t>
  </si>
  <si>
    <t>XtraLife ClearVue Slant-D Ring Binder, White, 3"</t>
  </si>
  <si>
    <t>XtraLife ClearVue Slant-D Ring Binders by Cardinal</t>
  </si>
  <si>
    <t>Zebra GK420t Direct Thermal/Thermal Transfer Printer</t>
  </si>
  <si>
    <t>Zebra GX420t Direct Thermal/Thermal Transfer Printer</t>
  </si>
  <si>
    <t>Zebra ZM400 Thermal Label Printer</t>
  </si>
  <si>
    <t>Zebra Zazzle Fluorescent Highlighters</t>
  </si>
  <si>
    <t>Zipper Ring Binder Pockets</t>
  </si>
  <si>
    <t>i.Sound Portable Power - 8000 mAh</t>
  </si>
  <si>
    <t>iHome FM Clock Radio with Lightning Dock</t>
  </si>
  <si>
    <t>iKross Bluetooth Portable Keyboard + Cell Phone Stand Holder + Brush for Apple iPhone 5S 5C 5, 4S 4</t>
  </si>
  <si>
    <t>iOttie HLCRIO102 Car Mount</t>
  </si>
  <si>
    <t>iOttie XL Car Mount</t>
  </si>
  <si>
    <t>invisibleSHIELD by ZAGG Smudge-Free Screen Protector</t>
  </si>
  <si>
    <t>netTALK DUO VoIP Telephone Service</t>
  </si>
  <si>
    <t>Sl.No</t>
  </si>
  <si>
    <t>Table 1</t>
  </si>
  <si>
    <t>Table 5</t>
  </si>
  <si>
    <t>Table 4</t>
  </si>
  <si>
    <t>Table 3</t>
  </si>
  <si>
    <t>Table 2</t>
  </si>
  <si>
    <t>Table 6</t>
  </si>
  <si>
    <t>Table 7</t>
  </si>
  <si>
    <t>Table 8</t>
  </si>
  <si>
    <t>Table 9</t>
  </si>
  <si>
    <t>Table 10</t>
  </si>
  <si>
    <t>Table 11</t>
  </si>
  <si>
    <t>Table 12</t>
  </si>
  <si>
    <t>Table 13</t>
  </si>
  <si>
    <t>Table 15</t>
  </si>
  <si>
    <t>Table 14</t>
  </si>
  <si>
    <t>Table 16</t>
  </si>
  <si>
    <t>Table 17</t>
  </si>
  <si>
    <t>Table 18</t>
  </si>
  <si>
    <t>Table 19</t>
  </si>
  <si>
    <t>Table 20</t>
  </si>
  <si>
    <t>Row Labels</t>
  </si>
  <si>
    <t>Grand Total</t>
  </si>
  <si>
    <t>Sum of Sales</t>
  </si>
  <si>
    <t>Sum of Profit</t>
  </si>
  <si>
    <t>Category Performance</t>
  </si>
  <si>
    <t>Year</t>
  </si>
  <si>
    <t>Month 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</si>
  <si>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</si>
  <si>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</si>
  <si>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</si>
  <si>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</si>
  <si>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</si>
  <si>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</si>
  <si>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</si>
  <si>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</si>
  <si>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</si>
  <si>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</si>
  <si>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</si>
  <si>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</si>
  <si>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Column Labels</t>
  </si>
  <si>
    <t>2014</t>
  </si>
  <si>
    <t>2015</t>
  </si>
  <si>
    <t>2016</t>
  </si>
  <si>
    <t>2017</t>
  </si>
  <si>
    <t>Count of Product Name</t>
  </si>
  <si>
    <t>SUPERSTORE SALES DASHBOARD</t>
  </si>
  <si>
    <t>Most products fall into the Low Profit category, indicating an opportunity to improve margins.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</si>
</sst>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rgb="FFFF0066"/>
      <name val="Calibri"/>
      <family val="2"/>
      <scheme val="minor"/>
    </font>
    <font>
      <b/>
      <u/>
      <sz val="26"/>
      <color rgb="FFFF00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14" fontId="0" fillId="0" borderId="0" xfId="0" applyNumberFormat="1"/>
    <xf numFmtId="0" fontId="3" fillId="0" borderId="0" xfId="0" applyFont="1" applyAlignment="1">
      <alignment horizontal="center" vertical="top"/>
    </xf>
    <xf numFmtId="0" fontId="0" fillId="2" borderId="0" xfId="0" applyFill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5" fillId="2" borderId="0" xfId="0" applyFont="1" applyFill="1"/>
    <xf numFmtId="0" fontId="6" fillId="2" borderId="0" xfId="0" applyFont="1" applyFill="1"/>
    <xf numFmtId="0" fontId="0" fillId="3" borderId="0" xfId="0" applyFill="1"/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FCCCC"/>
      <color rgb="FFCCCCFF"/>
      <color rgb="FFFF0066"/>
      <color rgb="FFCCECFF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[Superstore_sales_Excel_Analysis.xlsx]Problem_2!PivotTable3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00B050"/>
                </a:solidFill>
              </a:rPr>
              <a:t>Category Performance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Problem_2!$F$8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Problem_2!$E$9:$E$12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Problem_2!$F$9:$F$12</c:f>
              <c:numCache>
                <c:formatCode>General</c:formatCode>
                <c:ptCount val="3"/>
                <c:pt idx="0">
                  <c:v>741999.8</c:v>
                </c:pt>
                <c:pt idx="1">
                  <c:v>719047.03</c:v>
                </c:pt>
                <c:pt idx="2">
                  <c:v>836154.03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E-442E-9B2F-7F98C4636A36}"/>
            </c:ext>
          </c:extLst>
        </c:ser>
        <c:ser>
          <c:idx val="1"/>
          <c:order val="1"/>
          <c:tx>
            <c:strRef>
              <c:f>Problem_2!$G$8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Problem_2!$E$9:$E$12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Problem_2!$G$9:$G$12</c:f>
              <c:numCache>
                <c:formatCode>General</c:formatCode>
                <c:ptCount val="3"/>
                <c:pt idx="0">
                  <c:v>18451.27</c:v>
                </c:pt>
                <c:pt idx="1">
                  <c:v>122490.8</c:v>
                </c:pt>
                <c:pt idx="2">
                  <c:v>145454.95000000001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1E-442E-9B2F-7F98C4636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9500848"/>
        <c:axId val="690416688"/>
      </c:barChart>
      <c:catAx>
        <c:axId val="68950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416688"/>
        <c:crosses val="autoZero"/>
        <c:auto val="1"/>
        <c:lblAlgn val="ctr"/>
        <c:lblOffset val="100"/>
        <c:noMultiLvlLbl val="0"/>
      </c:catAx>
      <c:valAx>
        <c:axId val="69041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50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0070C0"/>
                </a:solidFill>
              </a:rPr>
              <a:t>Sub-Category Sales Performance</a:t>
            </a:r>
            <a:endParaRPr lang="en-US" b="1">
              <a:solidFill>
                <a:srgbClr val="0070C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Problem_2!$L$2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Problem_2!$K$3:$K$19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Problem_2!$L$3:$L$19</c:f>
              <c:numCache>
                <c:formatCode>General</c:formatCode>
                <c:ptCount val="17"/>
                <c:pt idx="0">
                  <c:v>330007.05</c:v>
                </c:pt>
                <c:pt idx="1">
                  <c:v>328449.09999999998</c:v>
                </c:pt>
                <c:pt idx="2">
                  <c:v>223843.61</c:v>
                </c:pt>
                <c:pt idx="3">
                  <c:v>206965.53</c:v>
                </c:pt>
                <c:pt idx="4">
                  <c:v>203412.73</c:v>
                </c:pt>
                <c:pt idx="5">
                  <c:v>189238.63</c:v>
                </c:pt>
                <c:pt idx="6">
                  <c:v>167380.32</c:v>
                </c:pt>
                <c:pt idx="7">
                  <c:v>149528.03</c:v>
                </c:pt>
                <c:pt idx="8">
                  <c:v>114880</c:v>
                </c:pt>
                <c:pt idx="9">
                  <c:v>107532.16</c:v>
                </c:pt>
                <c:pt idx="10">
                  <c:v>91705.16</c:v>
                </c:pt>
                <c:pt idx="11">
                  <c:v>78479.210000000006</c:v>
                </c:pt>
                <c:pt idx="12">
                  <c:v>46673.54</c:v>
                </c:pt>
                <c:pt idx="13">
                  <c:v>27118.79</c:v>
                </c:pt>
                <c:pt idx="14">
                  <c:v>16476.400000000001</c:v>
                </c:pt>
                <c:pt idx="15">
                  <c:v>12486.31</c:v>
                </c:pt>
                <c:pt idx="16">
                  <c:v>3024.28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5-45B0-BA0B-9E28661DA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8423487"/>
        <c:axId val="221473487"/>
      </c:barChart>
      <c:catAx>
        <c:axId val="618423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473487"/>
        <c:crosses val="autoZero"/>
        <c:auto val="1"/>
        <c:lblAlgn val="ctr"/>
        <c:lblOffset val="100"/>
        <c:noMultiLvlLbl val="0"/>
      </c:catAx>
      <c:valAx>
        <c:axId val="221473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42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7030A0"/>
                </a:solidFill>
              </a:rPr>
              <a:t>Loss Making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Problem_2!$Q$15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Problem_2!$P$16:$P$25</c:f>
              <c:strCache>
                <c:ptCount val="10"/>
                <c:pt idx="0">
                  <c:v>Cubify CubeX 3D Printer Double Head Print</c:v>
                </c:pt>
                <c:pt idx="1">
                  <c:v>Lexmark MX611dhe Monochrome Laser Printer</c:v>
                </c:pt>
                <c:pt idx="2">
                  <c:v>Cubify CubeX 3D Printer Triple Head Print</c:v>
                </c:pt>
                <c:pt idx="3">
                  <c:v>Chromcraft Bull-Nose Wood Oval Conference Tables &amp; Bases</c:v>
                </c:pt>
                <c:pt idx="4">
                  <c:v>Bush Advantage Collection Racetrack Conference Table</c:v>
                </c:pt>
                <c:pt idx="5">
                  <c:v>GBC DocuBind P400 Electric Binding System</c:v>
                </c:pt>
                <c:pt idx="6">
                  <c:v>Cisco TelePresence System EX90 Videoconferencing Unit</c:v>
                </c:pt>
                <c:pt idx="7">
                  <c:v>Martin Yale Chadless Opener Electric Letter Opener</c:v>
                </c:pt>
                <c:pt idx="8">
                  <c:v>Balt Solid Wood Round Tables</c:v>
                </c:pt>
                <c:pt idx="9">
                  <c:v>BoxOffice By Design Rectangular and Half-Moon Meeting Room Tables</c:v>
                </c:pt>
              </c:strCache>
            </c:strRef>
          </c:cat>
          <c:val>
            <c:numRef>
              <c:f>Problem_2!$Q$16:$Q$25</c:f>
              <c:numCache>
                <c:formatCode>General</c:formatCode>
                <c:ptCount val="10"/>
                <c:pt idx="0">
                  <c:v>-8879.9699999999993</c:v>
                </c:pt>
                <c:pt idx="1">
                  <c:v>-4589.97</c:v>
                </c:pt>
                <c:pt idx="2">
                  <c:v>-3839.99</c:v>
                </c:pt>
                <c:pt idx="3">
                  <c:v>-2876.12</c:v>
                </c:pt>
                <c:pt idx="4">
                  <c:v>-1934.4</c:v>
                </c:pt>
                <c:pt idx="5">
                  <c:v>-1878.17</c:v>
                </c:pt>
                <c:pt idx="6">
                  <c:v>-1811.08</c:v>
                </c:pt>
                <c:pt idx="7">
                  <c:v>-1299.18</c:v>
                </c:pt>
                <c:pt idx="8">
                  <c:v>-1201.06</c:v>
                </c:pt>
                <c:pt idx="9">
                  <c:v>-1148.44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3-423B-A7F4-2425EA648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7027055"/>
        <c:axId val="669122767"/>
      </c:barChart>
      <c:catAx>
        <c:axId val="6870270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122767"/>
        <c:crosses val="autoZero"/>
        <c:auto val="1"/>
        <c:lblAlgn val="ctr"/>
        <c:lblOffset val="100"/>
        <c:noMultiLvlLbl val="0"/>
      </c:catAx>
      <c:valAx>
        <c:axId val="6691227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02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Segment Performance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Problem_3!$C$15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Problem_3!$B$16:$B$18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Problem_3!$C$16:$C$18</c:f>
              <c:numCache>
                <c:formatCode>General</c:formatCode>
                <c:ptCount val="3"/>
                <c:pt idx="0">
                  <c:v>1161401.3400000001</c:v>
                </c:pt>
                <c:pt idx="1">
                  <c:v>706146.37</c:v>
                </c:pt>
                <c:pt idx="2">
                  <c:v>429653.15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0-4906-A367-867A317AAF78}"/>
            </c:ext>
          </c:extLst>
        </c:ser>
        <c:ser>
          <c:idx val="1"/>
          <c:order val="1"/>
          <c:tx>
            <c:strRef>
              <c:f>Problem_3!$D$15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Problem_3!$B$16:$B$18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Problem_3!$D$16:$D$18</c:f>
              <c:numCache>
                <c:formatCode>General</c:formatCode>
                <c:ptCount val="3"/>
                <c:pt idx="0">
                  <c:v>134119.21</c:v>
                </c:pt>
                <c:pt idx="1">
                  <c:v>91979.13</c:v>
                </c:pt>
                <c:pt idx="2">
                  <c:v>60298.68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20-4906-A367-867A317AA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86997823"/>
        <c:axId val="924460303"/>
        <c:axId val="0"/>
      </c:bar3DChart>
      <c:catAx>
        <c:axId val="68699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60303"/>
        <c:crosses val="autoZero"/>
        <c:auto val="1"/>
        <c:lblAlgn val="ctr"/>
        <c:lblOffset val="100"/>
        <c:noMultiLvlLbl val="0"/>
      </c:catAx>
      <c:valAx>
        <c:axId val="92446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99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6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Problem_4!$D$2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74F-4567-8308-AB9E44FBCFA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74F-4567-8308-AB9E44FBCFA6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74F-4567-8308-AB9E44FBCFA6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74F-4567-8308-AB9E44FBCFA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74F-4567-8308-AB9E44FBCFA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774F-4567-8308-AB9E44FBCFA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74F-4567-8308-AB9E44FBCFA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774F-4567-8308-AB9E44FBCFA6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Problem_4!$C$3:$C$6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Problem_4!$D$3:$D$6</c:f>
              <c:numCache>
                <c:formatCode>General</c:formatCode>
                <c:ptCount val="4"/>
                <c:pt idx="0">
                  <c:v>725457.82</c:v>
                </c:pt>
                <c:pt idx="1">
                  <c:v>678781.24</c:v>
                </c:pt>
                <c:pt idx="2">
                  <c:v>501239.89</c:v>
                </c:pt>
                <c:pt idx="3">
                  <c:v>391721.91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F-4567-8308-AB9E44FBCFA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Top 10 States by </a:t>
            </a: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Problem_4!$D$9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Problem_4!$C$10:$C$19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Problem_4!$D$10:$D$19</c:f>
              <c:numCache>
                <c:formatCode>General</c:formatCode>
                <c:ptCount val="10"/>
                <c:pt idx="0">
                  <c:v>457687.63</c:v>
                </c:pt>
                <c:pt idx="1">
                  <c:v>310876.27</c:v>
                </c:pt>
                <c:pt idx="2">
                  <c:v>170188.05</c:v>
                </c:pt>
                <c:pt idx="3">
                  <c:v>138641.26999999999</c:v>
                </c:pt>
                <c:pt idx="4">
                  <c:v>116511.91</c:v>
                </c:pt>
                <c:pt idx="5">
                  <c:v>89473.71</c:v>
                </c:pt>
                <c:pt idx="6">
                  <c:v>80166.100000000006</c:v>
                </c:pt>
                <c:pt idx="7">
                  <c:v>78258.14</c:v>
                </c:pt>
                <c:pt idx="8">
                  <c:v>76269.61</c:v>
                </c:pt>
                <c:pt idx="9">
                  <c:v>70636.72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4-4673-AE4E-BE26D32D8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86976479"/>
        <c:axId val="924569263"/>
      </c:barChart>
      <c:catAx>
        <c:axId val="68697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569263"/>
        <c:crosses val="autoZero"/>
        <c:auto val="1"/>
        <c:lblAlgn val="ctr"/>
        <c:lblOffset val="100"/>
        <c:noMultiLvlLbl val="0"/>
      </c:catAx>
      <c:valAx>
        <c:axId val="92456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97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CC"/>
    </a:solidFill>
    <a:ln w="25400" cap="flat" cmpd="sng" algn="ctr">
      <a:solidFill>
        <a:schemeClr val="dk1">
          <a:alpha val="91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[Superstore_sales_Excel_Analysis.xlsx]Problem_5!PivotTable6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 (2014–2017)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190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190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190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Problem_5!$G$3:$G$4</c:f>
              <c:strCache>
                <c:ptCount val="1"/>
                <c:pt idx="0">
                  <c:v>2014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Problem_5!$F$5:$F$17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Problem_5!$G$5:$G$17</c:f>
              <c:numCache>
                <c:formatCode>General</c:formatCode>
                <c:ptCount val="12"/>
                <c:pt idx="0">
                  <c:v>14236.9</c:v>
                </c:pt>
                <c:pt idx="1">
                  <c:v>4519.8900000000003</c:v>
                </c:pt>
                <c:pt idx="2">
                  <c:v>55691.01</c:v>
                </c:pt>
                <c:pt idx="3">
                  <c:v>28295.35</c:v>
                </c:pt>
                <c:pt idx="4">
                  <c:v>23648.29</c:v>
                </c:pt>
                <c:pt idx="5">
                  <c:v>34595.129999999997</c:v>
                </c:pt>
                <c:pt idx="6">
                  <c:v>33946.39</c:v>
                </c:pt>
                <c:pt idx="7">
                  <c:v>27909.47</c:v>
                </c:pt>
                <c:pt idx="8">
                  <c:v>81777.350000000006</c:v>
                </c:pt>
                <c:pt idx="9">
                  <c:v>31453.39</c:v>
                </c:pt>
                <c:pt idx="10">
                  <c:v>78628.72</c:v>
                </c:pt>
                <c:pt idx="11">
                  <c:v>69545.62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0A-4B7F-8F63-B899077384BA}"/>
            </c:ext>
          </c:extLst>
        </c:ser>
        <c:ser>
          <c:idx val="1"/>
          <c:order val="1"/>
          <c:tx>
            <c:strRef>
              <c:f>Problem_5!$H$3:$H$4</c:f>
              <c:strCache>
                <c:ptCount val="1"/>
                <c:pt idx="0">
                  <c:v>2015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Problem_5!$F$5:$F$17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Problem_5!$H$5:$H$17</c:f>
              <c:numCache>
                <c:formatCode>General</c:formatCode>
                <c:ptCount val="12"/>
                <c:pt idx="0">
                  <c:v>18174.080000000002</c:v>
                </c:pt>
                <c:pt idx="1">
                  <c:v>11951.41</c:v>
                </c:pt>
                <c:pt idx="2">
                  <c:v>38726.25</c:v>
                </c:pt>
                <c:pt idx="3">
                  <c:v>34195.21</c:v>
                </c:pt>
                <c:pt idx="4">
                  <c:v>30131.69</c:v>
                </c:pt>
                <c:pt idx="5">
                  <c:v>24797.29</c:v>
                </c:pt>
                <c:pt idx="6">
                  <c:v>28765.33</c:v>
                </c:pt>
                <c:pt idx="7">
                  <c:v>36898.33</c:v>
                </c:pt>
                <c:pt idx="8">
                  <c:v>64595.92</c:v>
                </c:pt>
                <c:pt idx="9">
                  <c:v>31404.92</c:v>
                </c:pt>
                <c:pt idx="10">
                  <c:v>75972.56</c:v>
                </c:pt>
                <c:pt idx="11">
                  <c:v>74919.520000000004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0A-4B7F-8F63-B899077384BA}"/>
            </c:ext>
          </c:extLst>
        </c:ser>
        <c:ser>
          <c:idx val="2"/>
          <c:order val="2"/>
          <c:tx>
            <c:strRef>
              <c:f>Problem_5!$I$3:$I$4</c:f>
              <c:strCache>
                <c:ptCount val="1"/>
                <c:pt idx="0">
                  <c:v>2016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Problem_5!$F$5:$F$17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Problem_5!$I$5:$I$17</c:f>
              <c:numCache>
                <c:formatCode>General</c:formatCode>
                <c:ptCount val="12"/>
                <c:pt idx="0">
                  <c:v>18542.490000000002</c:v>
                </c:pt>
                <c:pt idx="1">
                  <c:v>22978.82</c:v>
                </c:pt>
                <c:pt idx="2">
                  <c:v>51715.88</c:v>
                </c:pt>
                <c:pt idx="3">
                  <c:v>38750.04</c:v>
                </c:pt>
                <c:pt idx="4">
                  <c:v>56987.73</c:v>
                </c:pt>
                <c:pt idx="5">
                  <c:v>40344.53</c:v>
                </c:pt>
                <c:pt idx="6">
                  <c:v>39261.96</c:v>
                </c:pt>
                <c:pt idx="7">
                  <c:v>31115.37</c:v>
                </c:pt>
                <c:pt idx="8">
                  <c:v>73410.02</c:v>
                </c:pt>
                <c:pt idx="9">
                  <c:v>59687.75</c:v>
                </c:pt>
                <c:pt idx="10">
                  <c:v>79411.97</c:v>
                </c:pt>
                <c:pt idx="11">
                  <c:v>96999.039999999994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0A-4B7F-8F63-B899077384BA}"/>
            </c:ext>
          </c:extLst>
        </c:ser>
        <c:ser>
          <c:idx val="3"/>
          <c:order val="3"/>
          <c:tx>
            <c:strRef>
              <c:f>Problem_5!$J$3:$J$4</c:f>
              <c:strCache>
                <c:ptCount val="1"/>
                <c:pt idx="0">
                  <c:v>2017</c:v>
                </c:pt>
              </c:strCache>
            </c:strRef>
          </c:tx>
          <c:spPr>
            <a:ln w="19050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Problem_5!$F$5:$F$17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Problem_5!$J$5:$J$17</c:f>
              <c:numCache>
                <c:formatCode>General</c:formatCode>
                <c:ptCount val="12"/>
                <c:pt idx="0">
                  <c:v>43971.37</c:v>
                </c:pt>
                <c:pt idx="1">
                  <c:v>20301.13</c:v>
                </c:pt>
                <c:pt idx="2">
                  <c:v>58872.35</c:v>
                </c:pt>
                <c:pt idx="3">
                  <c:v>36521.54</c:v>
                </c:pt>
                <c:pt idx="4">
                  <c:v>44261.11</c:v>
                </c:pt>
                <c:pt idx="5">
                  <c:v>52981.73</c:v>
                </c:pt>
                <c:pt idx="6">
                  <c:v>45264.42</c:v>
                </c:pt>
                <c:pt idx="7">
                  <c:v>63120.89</c:v>
                </c:pt>
                <c:pt idx="8">
                  <c:v>87866.65</c:v>
                </c:pt>
                <c:pt idx="9">
                  <c:v>77776.92</c:v>
                </c:pt>
                <c:pt idx="10">
                  <c:v>118447.83</c:v>
                </c:pt>
                <c:pt idx="11">
                  <c:v>83829.320000000007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0A-4B7F-8F63-B89907738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765371711"/>
        <c:axId val="924482863"/>
      </c:lineChart>
      <c:catAx>
        <c:axId val="76537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82863"/>
        <c:crosses val="autoZero"/>
        <c:auto val="1"/>
        <c:lblAlgn val="ctr"/>
        <c:lblOffset val="100"/>
        <c:noMultiLvlLbl val="0"/>
      </c:catAx>
      <c:valAx>
        <c:axId val="924482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37171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3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Discount vs Average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Problem_6!$C$2</c:f>
              <c:strCache>
                <c:ptCount val="1"/>
                <c:pt idx="0">
                  <c:v>Avg_Profit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Problem_6!$B$3:$B$14</c:f>
              <c:numCache>
                <c:formatCode>General</c:formatCod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numCache>
            </c:numRef>
          </c:cat>
          <c:val>
            <c:numRef>
              <c:f>Problem_6!$C$3:$C$14</c:f>
              <c:numCache>
                <c:formatCode>General</c:formatCode>
                <c:ptCount val="12"/>
                <c:pt idx="0">
                  <c:v>66.900000000000006</c:v>
                </c:pt>
                <c:pt idx="1">
                  <c:v>96.06</c:v>
                </c:pt>
                <c:pt idx="2">
                  <c:v>27.29</c:v>
                </c:pt>
                <c:pt idx="3">
                  <c:v>24.7</c:v>
                </c:pt>
                <c:pt idx="4">
                  <c:v>-45.68</c:v>
                </c:pt>
                <c:pt idx="5">
                  <c:v>-88.56</c:v>
                </c:pt>
                <c:pt idx="6">
                  <c:v>-111.93</c:v>
                </c:pt>
                <c:pt idx="7">
                  <c:v>-226.65</c:v>
                </c:pt>
                <c:pt idx="8">
                  <c:v>-310.7</c:v>
                </c:pt>
                <c:pt idx="9">
                  <c:v>-43.08</c:v>
                </c:pt>
                <c:pt idx="10">
                  <c:v>-95.87</c:v>
                </c:pt>
                <c:pt idx="11">
                  <c:v>-101.8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EF-47BE-9A8D-0EA1E8710DC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7784959"/>
        <c:axId val="924414703"/>
      </c:lineChart>
      <c:catAx>
        <c:axId val="927784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14703"/>
        <c:crosses val="autoZero"/>
        <c:auto val="1"/>
        <c:lblAlgn val="ctr"/>
        <c:lblOffset val="100"/>
        <c:noMultiLvlLbl val="0"/>
      </c:catAx>
      <c:valAx>
        <c:axId val="92441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784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2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Ship Mode Analysis (Orders vs Sales)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Problem_7!$D$2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Problem_7!$B$3:$B$6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Problem_7!$D$3:$D$6</c:f>
              <c:numCache>
                <c:formatCode>General</c:formatCode>
                <c:ptCount val="4"/>
                <c:pt idx="0">
                  <c:v>1358215.74</c:v>
                </c:pt>
                <c:pt idx="1">
                  <c:v>459193.57</c:v>
                </c:pt>
                <c:pt idx="2">
                  <c:v>351428.42</c:v>
                </c:pt>
                <c:pt idx="3">
                  <c:v>128363.13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50-4D0F-B219-4B19B61C8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4178367"/>
        <c:axId val="924508783"/>
      </c:barChart>
      <c:lineChart>
        <c:grouping val="stacked"/>
        <c:varyColors val="0"/>
        <c:ser>
          <c:idx val="0"/>
          <c:order val="0"/>
          <c:tx>
            <c:strRef>
              <c:f>Problem_7!$C$2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CD3F612-A24B-4143-B1F7-280D6321E763}" type="VALUE">
                      <a:rPr lang="en-US" b="1"/>
                      <a:pPr/>
                      <a:t>[VALUE]</a:t>
                    </a:fld>
                    <a:endParaRPr lang="en-IN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050-4D0F-B219-4B19B61C8A9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C7427C8-9014-4AEA-BA3A-F044EFBAB55F}" type="VALUE">
                      <a:rPr lang="en-US" b="1"/>
                      <a:pPr/>
                      <a:t>[VALUE]</a:t>
                    </a:fld>
                    <a:endParaRPr lang="en-IN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050-4D0F-B219-4B19B61C8A9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B986EBC-55D4-45F6-8EB6-1FFE2E4B8208}" type="VALUE">
                      <a:rPr lang="en-US" b="1"/>
                      <a:pPr/>
                      <a:t>[VALUE]</a:t>
                    </a:fld>
                    <a:endParaRPr lang="en-IN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050-4D0F-B219-4B19B61C8A9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2ECFAB1-FAB6-4E32-BE33-159A4B002031}" type="VALUE">
                      <a:rPr lang="en-US" b="1"/>
                      <a:pPr/>
                      <a:t>[VALUE]</a:t>
                    </a:fld>
                    <a:endParaRPr lang="en-IN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8050-4D0F-B219-4B19B61C8A9B}"/>
                </c:ext>
              </c:extLst>
            </c:dLbl>
            <c:spPr>
              <a:solidFill>
                <a:schemeClr val="lt1"/>
              </a:solidFill>
              <a:ln>
                <a:solidFill>
                  <a:schemeClr val="accent6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Problem_7!$B$3:$B$6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Problem_7!$C$3:$C$6</c:f>
              <c:numCache>
                <c:formatCode>General</c:formatCode>
                <c:ptCount val="4"/>
                <c:pt idx="0">
                  <c:v>5968</c:v>
                </c:pt>
                <c:pt idx="1">
                  <c:v>1945</c:v>
                </c:pt>
                <c:pt idx="2">
                  <c:v>1538</c:v>
                </c:pt>
                <c:pt idx="3">
                  <c:v>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50-4D0F-B219-4B19B61C8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245183"/>
        <c:axId val="924520303"/>
      </c:lineChart>
      <c:catAx>
        <c:axId val="111417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508783"/>
        <c:crosses val="autoZero"/>
        <c:auto val="1"/>
        <c:lblAlgn val="ctr"/>
        <c:lblOffset val="100"/>
        <c:noMultiLvlLbl val="0"/>
      </c:catAx>
      <c:valAx>
        <c:axId val="92450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178367"/>
        <c:crosses val="autoZero"/>
        <c:crossBetween val="between"/>
      </c:valAx>
      <c:valAx>
        <c:axId val="9245203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245183"/>
        <c:crosses val="max"/>
        <c:crossBetween val="between"/>
      </c:valAx>
      <c:catAx>
        <c:axId val="11142451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245203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4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[Superstore_sales_Excel_Analysis.xlsx]Problem_8!PivotTable7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Distribution by Profit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Problem_8!$K$3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7CC-47FC-97CD-C505D36658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7CC-47FC-97CD-C505D36658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7CC-47FC-97CD-C505D36658C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Problem_8!$J$4:$J$7</c:f>
              <c:strCache>
                <c:ptCount val="3"/>
                <c:pt idx="0">
                  <c:v>High Profit</c:v>
                </c:pt>
                <c:pt idx="1">
                  <c:v>Low Profit</c:v>
                </c:pt>
                <c:pt idx="2">
                  <c:v>Medium Profit</c:v>
                </c:pt>
              </c:strCache>
            </c:strRef>
          </c:cat>
          <c:val>
            <c:numRef>
              <c:f>Problem_8!$K$4:$K$7</c:f>
              <c:numCache>
                <c:formatCode>General</c:formatCode>
                <c:ptCount val="3"/>
                <c:pt idx="0">
                  <c:v>169</c:v>
                </c:pt>
                <c:pt idx="1">
                  <c:v>1259</c:v>
                </c:pt>
                <c:pt idx="2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F-48DA-A590-5275528DD2A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51182033096919"/>
          <c:y val="0.4103649488747827"/>
          <c:w val="0.22975768321513002"/>
          <c:h val="0.3433914923630140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[Superstore_sales_Excel_Analysis.xlsx]Problem_2!PivotTable3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00B050"/>
                </a:solidFill>
              </a:rPr>
              <a:t>Category Performance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Problem_2!$F$8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Problem_2!$E$9:$E$12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Problem_2!$F$9:$F$12</c:f>
              <c:numCache>
                <c:formatCode>General</c:formatCode>
                <c:ptCount val="3"/>
                <c:pt idx="0">
                  <c:v>741999.8</c:v>
                </c:pt>
                <c:pt idx="1">
                  <c:v>719047.03</c:v>
                </c:pt>
                <c:pt idx="2">
                  <c:v>836154.03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C-43E1-8F38-5FFD9621BA20}"/>
            </c:ext>
          </c:extLst>
        </c:ser>
        <c:ser>
          <c:idx val="1"/>
          <c:order val="1"/>
          <c:tx>
            <c:strRef>
              <c:f>Problem_2!$G$8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Problem_2!$E$9:$E$12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Problem_2!$G$9:$G$12</c:f>
              <c:numCache>
                <c:formatCode>General</c:formatCode>
                <c:ptCount val="3"/>
                <c:pt idx="0">
                  <c:v>18451.27</c:v>
                </c:pt>
                <c:pt idx="1">
                  <c:v>122490.8</c:v>
                </c:pt>
                <c:pt idx="2">
                  <c:v>145454.95000000001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3C-43E1-8F38-5FFD9621B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9500848"/>
        <c:axId val="690416688"/>
      </c:barChart>
      <c:catAx>
        <c:axId val="68950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416688"/>
        <c:crosses val="autoZero"/>
        <c:auto val="1"/>
        <c:lblAlgn val="ctr"/>
        <c:lblOffset val="100"/>
        <c:noMultiLvlLbl val="0"/>
      </c:catAx>
      <c:valAx>
        <c:axId val="69041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50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0070C0"/>
                </a:solidFill>
              </a:rPr>
              <a:t>Sub-Category Sales Performance</a:t>
            </a:r>
            <a:endParaRPr lang="en-US" b="1">
              <a:solidFill>
                <a:srgbClr val="0070C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Problem_2!$L$2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Problem_2!$K$3:$K$19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Problem_2!$L$3:$L$19</c:f>
              <c:numCache>
                <c:formatCode>General</c:formatCode>
                <c:ptCount val="17"/>
                <c:pt idx="0">
                  <c:v>330007.05</c:v>
                </c:pt>
                <c:pt idx="1">
                  <c:v>328449.09999999998</c:v>
                </c:pt>
                <c:pt idx="2">
                  <c:v>223843.61</c:v>
                </c:pt>
                <c:pt idx="3">
                  <c:v>206965.53</c:v>
                </c:pt>
                <c:pt idx="4">
                  <c:v>203412.73</c:v>
                </c:pt>
                <c:pt idx="5">
                  <c:v>189238.63</c:v>
                </c:pt>
                <c:pt idx="6">
                  <c:v>167380.32</c:v>
                </c:pt>
                <c:pt idx="7">
                  <c:v>149528.03</c:v>
                </c:pt>
                <c:pt idx="8">
                  <c:v>114880</c:v>
                </c:pt>
                <c:pt idx="9">
                  <c:v>107532.16</c:v>
                </c:pt>
                <c:pt idx="10">
                  <c:v>91705.16</c:v>
                </c:pt>
                <c:pt idx="11">
                  <c:v>78479.210000000006</c:v>
                </c:pt>
                <c:pt idx="12">
                  <c:v>46673.54</c:v>
                </c:pt>
                <c:pt idx="13">
                  <c:v>27118.79</c:v>
                </c:pt>
                <c:pt idx="14">
                  <c:v>16476.400000000001</c:v>
                </c:pt>
                <c:pt idx="15">
                  <c:v>12486.31</c:v>
                </c:pt>
                <c:pt idx="16">
                  <c:v>3024.28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0-4C0C-A0AB-145B96D44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8423487"/>
        <c:axId val="221473487"/>
      </c:barChart>
      <c:catAx>
        <c:axId val="618423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473487"/>
        <c:crosses val="autoZero"/>
        <c:auto val="1"/>
        <c:lblAlgn val="ctr"/>
        <c:lblOffset val="100"/>
        <c:noMultiLvlLbl val="0"/>
      </c:catAx>
      <c:valAx>
        <c:axId val="221473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42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7030A0"/>
                </a:solidFill>
              </a:rPr>
              <a:t>Loss Making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Problem_2!$Q$15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Problem_2!$P$16:$P$25</c:f>
              <c:strCache>
                <c:ptCount val="10"/>
                <c:pt idx="0">
                  <c:v>Cubify CubeX 3D Printer Double Head Print</c:v>
                </c:pt>
                <c:pt idx="1">
                  <c:v>Lexmark MX611dhe Monochrome Laser Printer</c:v>
                </c:pt>
                <c:pt idx="2">
                  <c:v>Cubify CubeX 3D Printer Triple Head Print</c:v>
                </c:pt>
                <c:pt idx="3">
                  <c:v>Chromcraft Bull-Nose Wood Oval Conference Tables &amp; Bases</c:v>
                </c:pt>
                <c:pt idx="4">
                  <c:v>Bush Advantage Collection Racetrack Conference Table</c:v>
                </c:pt>
                <c:pt idx="5">
                  <c:v>GBC DocuBind P400 Electric Binding System</c:v>
                </c:pt>
                <c:pt idx="6">
                  <c:v>Cisco TelePresence System EX90 Videoconferencing Unit</c:v>
                </c:pt>
                <c:pt idx="7">
                  <c:v>Martin Yale Chadless Opener Electric Letter Opener</c:v>
                </c:pt>
                <c:pt idx="8">
                  <c:v>Balt Solid Wood Round Tables</c:v>
                </c:pt>
                <c:pt idx="9">
                  <c:v>BoxOffice By Design Rectangular and Half-Moon Meeting Room Tables</c:v>
                </c:pt>
              </c:strCache>
            </c:strRef>
          </c:cat>
          <c:val>
            <c:numRef>
              <c:f>Problem_2!$Q$16:$Q$25</c:f>
              <c:numCache>
                <c:formatCode>General</c:formatCode>
                <c:ptCount val="10"/>
                <c:pt idx="0">
                  <c:v>-8879.9699999999993</c:v>
                </c:pt>
                <c:pt idx="1">
                  <c:v>-4589.97</c:v>
                </c:pt>
                <c:pt idx="2">
                  <c:v>-3839.99</c:v>
                </c:pt>
                <c:pt idx="3">
                  <c:v>-2876.12</c:v>
                </c:pt>
                <c:pt idx="4">
                  <c:v>-1934.4</c:v>
                </c:pt>
                <c:pt idx="5">
                  <c:v>-1878.17</c:v>
                </c:pt>
                <c:pt idx="6">
                  <c:v>-1811.08</c:v>
                </c:pt>
                <c:pt idx="7">
                  <c:v>-1299.18</c:v>
                </c:pt>
                <c:pt idx="8">
                  <c:v>-1201.06</c:v>
                </c:pt>
                <c:pt idx="9">
                  <c:v>-1148.44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F-496A-A338-857A45089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7027055"/>
        <c:axId val="669122767"/>
      </c:barChart>
      <c:catAx>
        <c:axId val="6870270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122767"/>
        <c:crosses val="autoZero"/>
        <c:auto val="1"/>
        <c:lblAlgn val="ctr"/>
        <c:lblOffset val="100"/>
        <c:noMultiLvlLbl val="0"/>
      </c:catAx>
      <c:valAx>
        <c:axId val="6691227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02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Segment Performance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Problem_3!$C$15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Problem_3!$B$16:$B$18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Problem_3!$C$16:$C$18</c:f>
              <c:numCache>
                <c:formatCode>General</c:formatCode>
                <c:ptCount val="3"/>
                <c:pt idx="0">
                  <c:v>1161401.3400000001</c:v>
                </c:pt>
                <c:pt idx="1">
                  <c:v>706146.37</c:v>
                </c:pt>
                <c:pt idx="2">
                  <c:v>429653.15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3-41DF-9AA3-4479C18EAA03}"/>
            </c:ext>
          </c:extLst>
        </c:ser>
        <c:ser>
          <c:idx val="1"/>
          <c:order val="1"/>
          <c:tx>
            <c:strRef>
              <c:f>Problem_3!$D$15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Problem_3!$B$16:$B$18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Problem_3!$D$16:$D$18</c:f>
              <c:numCache>
                <c:formatCode>General</c:formatCode>
                <c:ptCount val="3"/>
                <c:pt idx="0">
                  <c:v>134119.21</c:v>
                </c:pt>
                <c:pt idx="1">
                  <c:v>91979.13</c:v>
                </c:pt>
                <c:pt idx="2">
                  <c:v>60298.68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53-41DF-9AA3-4479C18EA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86997823"/>
        <c:axId val="924460303"/>
        <c:axId val="0"/>
      </c:bar3DChart>
      <c:catAx>
        <c:axId val="68699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60303"/>
        <c:crosses val="autoZero"/>
        <c:auto val="1"/>
        <c:lblAlgn val="ctr"/>
        <c:lblOffset val="100"/>
        <c:noMultiLvlLbl val="0"/>
      </c:catAx>
      <c:valAx>
        <c:axId val="92446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99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6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Problem_4!$D$2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032-4D05-B330-8E4777F27BE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032-4D05-B330-8E4777F27BED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032-4D05-B330-8E4777F27BED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032-4D05-B330-8E4777F27BE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032-4D05-B330-8E4777F27BE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032-4D05-B330-8E4777F27BE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032-4D05-B330-8E4777F27BE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7032-4D05-B330-8E4777F27BE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Problem_4!$C$3:$C$6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Problem_4!$D$3:$D$6</c:f>
              <c:numCache>
                <c:formatCode>General</c:formatCode>
                <c:ptCount val="4"/>
                <c:pt idx="0">
                  <c:v>725457.82</c:v>
                </c:pt>
                <c:pt idx="1">
                  <c:v>678781.24</c:v>
                </c:pt>
                <c:pt idx="2">
                  <c:v>501239.89</c:v>
                </c:pt>
                <c:pt idx="3">
                  <c:v>391721.91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032-4D05-B330-8E4777F27BE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[Superstore_sales_Excel_Analysis.xlsx]Problem_5!PivotTable6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 (2014–2017)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190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190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190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190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190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190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190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190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190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190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190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190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Problem_5!$G$3:$G$4</c:f>
              <c:strCache>
                <c:ptCount val="1"/>
                <c:pt idx="0">
                  <c:v>2014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Problem_5!$F$5:$F$17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Problem_5!$G$5:$G$17</c:f>
              <c:numCache>
                <c:formatCode>General</c:formatCode>
                <c:ptCount val="12"/>
                <c:pt idx="0">
                  <c:v>14236.9</c:v>
                </c:pt>
                <c:pt idx="1">
                  <c:v>4519.8900000000003</c:v>
                </c:pt>
                <c:pt idx="2">
                  <c:v>55691.01</c:v>
                </c:pt>
                <c:pt idx="3">
                  <c:v>28295.35</c:v>
                </c:pt>
                <c:pt idx="4">
                  <c:v>23648.29</c:v>
                </c:pt>
                <c:pt idx="5">
                  <c:v>34595.129999999997</c:v>
                </c:pt>
                <c:pt idx="6">
                  <c:v>33946.39</c:v>
                </c:pt>
                <c:pt idx="7">
                  <c:v>27909.47</c:v>
                </c:pt>
                <c:pt idx="8">
                  <c:v>81777.350000000006</c:v>
                </c:pt>
                <c:pt idx="9">
                  <c:v>31453.39</c:v>
                </c:pt>
                <c:pt idx="10">
                  <c:v>78628.72</c:v>
                </c:pt>
                <c:pt idx="11">
                  <c:v>69545.62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E6-42DD-97CA-6089B925CB32}"/>
            </c:ext>
          </c:extLst>
        </c:ser>
        <c:ser>
          <c:idx val="1"/>
          <c:order val="1"/>
          <c:tx>
            <c:strRef>
              <c:f>Problem_5!$H$3:$H$4</c:f>
              <c:strCache>
                <c:ptCount val="1"/>
                <c:pt idx="0">
                  <c:v>2015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Problem_5!$F$5:$F$17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Problem_5!$H$5:$H$17</c:f>
              <c:numCache>
                <c:formatCode>General</c:formatCode>
                <c:ptCount val="12"/>
                <c:pt idx="0">
                  <c:v>18174.080000000002</c:v>
                </c:pt>
                <c:pt idx="1">
                  <c:v>11951.41</c:v>
                </c:pt>
                <c:pt idx="2">
                  <c:v>38726.25</c:v>
                </c:pt>
                <c:pt idx="3">
                  <c:v>34195.21</c:v>
                </c:pt>
                <c:pt idx="4">
                  <c:v>30131.69</c:v>
                </c:pt>
                <c:pt idx="5">
                  <c:v>24797.29</c:v>
                </c:pt>
                <c:pt idx="6">
                  <c:v>28765.33</c:v>
                </c:pt>
                <c:pt idx="7">
                  <c:v>36898.33</c:v>
                </c:pt>
                <c:pt idx="8">
                  <c:v>64595.92</c:v>
                </c:pt>
                <c:pt idx="9">
                  <c:v>31404.92</c:v>
                </c:pt>
                <c:pt idx="10">
                  <c:v>75972.56</c:v>
                </c:pt>
                <c:pt idx="11">
                  <c:v>74919.520000000004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E6-42DD-97CA-6089B925CB32}"/>
            </c:ext>
          </c:extLst>
        </c:ser>
        <c:ser>
          <c:idx val="2"/>
          <c:order val="2"/>
          <c:tx>
            <c:strRef>
              <c:f>Problem_5!$I$3:$I$4</c:f>
              <c:strCache>
                <c:ptCount val="1"/>
                <c:pt idx="0">
                  <c:v>2016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Problem_5!$F$5:$F$17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Problem_5!$I$5:$I$17</c:f>
              <c:numCache>
                <c:formatCode>General</c:formatCode>
                <c:ptCount val="12"/>
                <c:pt idx="0">
                  <c:v>18542.490000000002</c:v>
                </c:pt>
                <c:pt idx="1">
                  <c:v>22978.82</c:v>
                </c:pt>
                <c:pt idx="2">
                  <c:v>51715.88</c:v>
                </c:pt>
                <c:pt idx="3">
                  <c:v>38750.04</c:v>
                </c:pt>
                <c:pt idx="4">
                  <c:v>56987.73</c:v>
                </c:pt>
                <c:pt idx="5">
                  <c:v>40344.53</c:v>
                </c:pt>
                <c:pt idx="6">
                  <c:v>39261.96</c:v>
                </c:pt>
                <c:pt idx="7">
                  <c:v>31115.37</c:v>
                </c:pt>
                <c:pt idx="8">
                  <c:v>73410.02</c:v>
                </c:pt>
                <c:pt idx="9">
                  <c:v>59687.75</c:v>
                </c:pt>
                <c:pt idx="10">
                  <c:v>79411.97</c:v>
                </c:pt>
                <c:pt idx="11">
                  <c:v>96999.039999999994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E6-42DD-97CA-6089B925CB32}"/>
            </c:ext>
          </c:extLst>
        </c:ser>
        <c:ser>
          <c:idx val="3"/>
          <c:order val="3"/>
          <c:tx>
            <c:strRef>
              <c:f>Problem_5!$J$3:$J$4</c:f>
              <c:strCache>
                <c:ptCount val="1"/>
                <c:pt idx="0">
                  <c:v>2017</c:v>
                </c:pt>
              </c:strCache>
            </c:strRef>
          </c:tx>
          <c:spPr>
            <a:ln w="19050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Problem_5!$F$5:$F$17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Problem_5!$J$5:$J$17</c:f>
              <c:numCache>
                <c:formatCode>General</c:formatCode>
                <c:ptCount val="12"/>
                <c:pt idx="0">
                  <c:v>43971.37</c:v>
                </c:pt>
                <c:pt idx="1">
                  <c:v>20301.13</c:v>
                </c:pt>
                <c:pt idx="2">
                  <c:v>58872.35</c:v>
                </c:pt>
                <c:pt idx="3">
                  <c:v>36521.54</c:v>
                </c:pt>
                <c:pt idx="4">
                  <c:v>44261.11</c:v>
                </c:pt>
                <c:pt idx="5">
                  <c:v>52981.73</c:v>
                </c:pt>
                <c:pt idx="6">
                  <c:v>45264.42</c:v>
                </c:pt>
                <c:pt idx="7">
                  <c:v>63120.89</c:v>
                </c:pt>
                <c:pt idx="8">
                  <c:v>87866.65</c:v>
                </c:pt>
                <c:pt idx="9">
                  <c:v>77776.92</c:v>
                </c:pt>
                <c:pt idx="10">
                  <c:v>118447.83</c:v>
                </c:pt>
                <c:pt idx="11">
                  <c:v>83829.320000000007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E6-42DD-97CA-6089B925C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765371711"/>
        <c:axId val="924482863"/>
      </c:lineChart>
      <c:catAx>
        <c:axId val="76537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82863"/>
        <c:crosses val="autoZero"/>
        <c:auto val="1"/>
        <c:lblAlgn val="ctr"/>
        <c:lblOffset val="100"/>
        <c:noMultiLvlLbl val="0"/>
      </c:catAx>
      <c:valAx>
        <c:axId val="924482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37171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3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Discount vs Average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Problem_6!$C$2</c:f>
              <c:strCache>
                <c:ptCount val="1"/>
                <c:pt idx="0">
                  <c:v>Avg_Profit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Problem_6!$B$3:$B$14</c:f>
              <c:numCache>
                <c:formatCode>General</c:formatCod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numCache>
            </c:numRef>
          </c:cat>
          <c:val>
            <c:numRef>
              <c:f>Problem_6!$C$3:$C$14</c:f>
              <c:numCache>
                <c:formatCode>General</c:formatCode>
                <c:ptCount val="12"/>
                <c:pt idx="0">
                  <c:v>66.900000000000006</c:v>
                </c:pt>
                <c:pt idx="1">
                  <c:v>96.06</c:v>
                </c:pt>
                <c:pt idx="2">
                  <c:v>27.29</c:v>
                </c:pt>
                <c:pt idx="3">
                  <c:v>24.7</c:v>
                </c:pt>
                <c:pt idx="4">
                  <c:v>-45.68</c:v>
                </c:pt>
                <c:pt idx="5">
                  <c:v>-88.56</c:v>
                </c:pt>
                <c:pt idx="6">
                  <c:v>-111.93</c:v>
                </c:pt>
                <c:pt idx="7">
                  <c:v>-226.65</c:v>
                </c:pt>
                <c:pt idx="8">
                  <c:v>-310.7</c:v>
                </c:pt>
                <c:pt idx="9">
                  <c:v>-43.08</c:v>
                </c:pt>
                <c:pt idx="10">
                  <c:v>-95.87</c:v>
                </c:pt>
                <c:pt idx="11">
                  <c:v>-101.8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95-46D0-AEC3-B70F4E4EF5E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7784959"/>
        <c:axId val="924414703"/>
      </c:lineChart>
      <c:catAx>
        <c:axId val="927784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14703"/>
        <c:crosses val="autoZero"/>
        <c:auto val="1"/>
        <c:lblAlgn val="ctr"/>
        <c:lblOffset val="100"/>
        <c:noMultiLvlLbl val="0"/>
      </c:catAx>
      <c:valAx>
        <c:axId val="92441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784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2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Ship Mode Analysis (Orders vs Sales)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Problem_7!$D$2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Problem_7!$B$3:$B$6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Problem_7!$D$3:$D$6</c:f>
              <c:numCache>
                <c:formatCode>General</c:formatCode>
                <c:ptCount val="4"/>
                <c:pt idx="0">
                  <c:v>1358215.74</c:v>
                </c:pt>
                <c:pt idx="1">
                  <c:v>459193.57</c:v>
                </c:pt>
                <c:pt idx="2">
                  <c:v>351428.42</c:v>
                </c:pt>
                <c:pt idx="3">
                  <c:v>128363.13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A-4580-8265-3EC187E8F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4178367"/>
        <c:axId val="924508783"/>
      </c:barChart>
      <c:lineChart>
        <c:grouping val="stacked"/>
        <c:varyColors val="0"/>
        <c:ser>
          <c:idx val="0"/>
          <c:order val="0"/>
          <c:tx>
            <c:strRef>
              <c:f>Problem_7!$C$2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CD3F612-A24B-4143-B1F7-280D6321E763}" type="VALUE">
                      <a:rPr lang="en-US" b="1"/>
                      <a:pPr/>
                      <a:t>[VALUE]</a:t>
                    </a:fld>
                    <a:endParaRPr lang="en-IN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01A-4580-8265-3EC187E8F7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C7427C8-9014-4AEA-BA3A-F044EFBAB55F}" type="VALUE">
                      <a:rPr lang="en-US" b="1"/>
                      <a:pPr/>
                      <a:t>[VALUE]</a:t>
                    </a:fld>
                    <a:endParaRPr lang="en-IN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01A-4580-8265-3EC187E8F7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B986EBC-55D4-45F6-8EB6-1FFE2E4B8208}" type="VALUE">
                      <a:rPr lang="en-US" b="1"/>
                      <a:pPr/>
                      <a:t>[VALUE]</a:t>
                    </a:fld>
                    <a:endParaRPr lang="en-IN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01A-4580-8265-3EC187E8F7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2ECFAB1-FAB6-4E32-BE33-159A4B002031}" type="VALUE">
                      <a:rPr lang="en-US" b="1"/>
                      <a:pPr/>
                      <a:t>[VALUE]</a:t>
                    </a:fld>
                    <a:endParaRPr lang="en-IN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C01A-4580-8265-3EC187E8F7A9}"/>
                </c:ext>
              </c:extLst>
            </c:dLbl>
            <c:spPr>
              <a:solidFill>
                <a:schemeClr val="lt1"/>
              </a:solidFill>
              <a:ln>
                <a:solidFill>
                  <a:schemeClr val="accent6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Problem_7!$B$3:$B$6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Problem_7!$C$3:$C$6</c:f>
              <c:numCache>
                <c:formatCode>General</c:formatCode>
                <c:ptCount val="4"/>
                <c:pt idx="0">
                  <c:v>5968</c:v>
                </c:pt>
                <c:pt idx="1">
                  <c:v>1945</c:v>
                </c:pt>
                <c:pt idx="2">
                  <c:v>1538</c:v>
                </c:pt>
                <c:pt idx="3">
                  <c:v>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1A-4580-8265-3EC187E8F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245183"/>
        <c:axId val="924520303"/>
      </c:lineChart>
      <c:catAx>
        <c:axId val="111417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508783"/>
        <c:crosses val="autoZero"/>
        <c:auto val="1"/>
        <c:lblAlgn val="ctr"/>
        <c:lblOffset val="100"/>
        <c:noMultiLvlLbl val="0"/>
      </c:catAx>
      <c:valAx>
        <c:axId val="92450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178367"/>
        <c:crosses val="autoZero"/>
        <c:crossBetween val="between"/>
      </c:valAx>
      <c:valAx>
        <c:axId val="9245203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245183"/>
        <c:crosses val="max"/>
        <c:crossBetween val="between"/>
      </c:valAx>
      <c:catAx>
        <c:axId val="11142451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245203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4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[Superstore_sales_Excel_Analysis.xlsx]Problem_8!PivotTable7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Product Distribution by Profit Category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Problem_8!$K$3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64-4E8D-AC60-3944270D20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64-4E8D-AC60-3944270D20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564-4E8D-AC60-3944270D207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Problem_8!$J$4:$J$7</c:f>
              <c:strCache>
                <c:ptCount val="3"/>
                <c:pt idx="0">
                  <c:v>High Profit</c:v>
                </c:pt>
                <c:pt idx="1">
                  <c:v>Low Profit</c:v>
                </c:pt>
                <c:pt idx="2">
                  <c:v>Medium Profit</c:v>
                </c:pt>
              </c:strCache>
            </c:strRef>
          </c:cat>
          <c:val>
            <c:numRef>
              <c:f>Problem_8!$K$4:$K$7</c:f>
              <c:numCache>
                <c:formatCode>General</c:formatCode>
                <c:ptCount val="3"/>
                <c:pt idx="0">
                  <c:v>169</c:v>
                </c:pt>
                <c:pt idx="1">
                  <c:v>1259</c:v>
                </c:pt>
                <c:pt idx="2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64-4E8D-AC60-3944270D207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51182033096919"/>
          <c:y val="0.4103649488747827"/>
          <c:w val="0.22975768321513002"/>
          <c:h val="0.3433914923630140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Top 10 States by </a:t>
            </a: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Problem_4!$D$9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Problem_4!$C$10:$C$19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Problem_4!$D$10:$D$19</c:f>
              <c:numCache>
                <c:formatCode>General</c:formatCode>
                <c:ptCount val="10"/>
                <c:pt idx="0">
                  <c:v>457687.63</c:v>
                </c:pt>
                <c:pt idx="1">
                  <c:v>310876.27</c:v>
                </c:pt>
                <c:pt idx="2">
                  <c:v>170188.05</c:v>
                </c:pt>
                <c:pt idx="3">
                  <c:v>138641.26999999999</c:v>
                </c:pt>
                <c:pt idx="4">
                  <c:v>116511.91</c:v>
                </c:pt>
                <c:pt idx="5">
                  <c:v>89473.71</c:v>
                </c:pt>
                <c:pt idx="6">
                  <c:v>80166.100000000006</c:v>
                </c:pt>
                <c:pt idx="7">
                  <c:v>78258.14</c:v>
                </c:pt>
                <c:pt idx="8">
                  <c:v>76269.61</c:v>
                </c:pt>
                <c:pt idx="9">
                  <c:v>70636.72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A-4A81-94B4-EE62DA8AA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86976479"/>
        <c:axId val="924569263"/>
      </c:barChart>
      <c:catAx>
        <c:axId val="68697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569263"/>
        <c:crosses val="autoZero"/>
        <c:auto val="1"/>
        <c:lblAlgn val="ctr"/>
        <c:lblOffset val="100"/>
        <c:noMultiLvlLbl val="0"/>
      </c:catAx>
      <c:valAx>
        <c:axId val="92456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97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CC"/>
    </a:solidFill>
    <a:ln w="25400" cap="flat" cmpd="sng" algn="ctr">
      <a:solidFill>
        <a:schemeClr val="dk1">
          <a:alpha val="91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647700</xdr:colOff>
      <xdr:row>14</xdr:row>
      <xdr:rowOff>3810</xdr:rowOff>
    </xdr:from>
    <xdr:to>
      <xdr:col>7</xdr:col>
      <xdr:colOff>0</xdr:colOff>
      <xdr:row>28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60881F-7EB9-4823-CC6C-FB5F48FFE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20</xdr:row>
      <xdr:rowOff>144780</xdr:rowOff>
    </xdr:from>
    <xdr:to>
      <xdr:col>13</xdr:col>
      <xdr:colOff>38100</xdr:colOff>
      <xdr:row>33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655425-21C3-D6BA-3963-C5F187F3E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594360</xdr:colOff>
      <xdr:row>26</xdr:row>
      <xdr:rowOff>91440</xdr:rowOff>
    </xdr:from>
    <xdr:to>
      <xdr:col>16</xdr:col>
      <xdr:colOff>579120</xdr:colOff>
      <xdr:row>41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1E30FA-776B-5AC5-A63E-0CCA1790E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13</xdr:row>
      <xdr:rowOff>7620</xdr:rowOff>
    </xdr:from>
    <xdr:to>
      <xdr:col>12</xdr:col>
      <xdr:colOff>22860</xdr:colOff>
      <xdr:row>26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76B8D8-8046-8060-B4DA-7129A5122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1</xdr:row>
      <xdr:rowOff>15240</xdr:rowOff>
    </xdr:from>
    <xdr:to>
      <xdr:col>11</xdr:col>
      <xdr:colOff>586740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0CA2E8-14CF-E352-B925-0F2A3A888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</xdr:colOff>
      <xdr:row>15</xdr:row>
      <xdr:rowOff>175260</xdr:rowOff>
    </xdr:from>
    <xdr:to>
      <xdr:col>12</xdr:col>
      <xdr:colOff>601980</xdr:colOff>
      <xdr:row>31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58146F-68E0-ED58-4ACA-1190CE094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18</xdr:row>
      <xdr:rowOff>3810</xdr:rowOff>
    </xdr:from>
    <xdr:to>
      <xdr:col>10</xdr:col>
      <xdr:colOff>701040</xdr:colOff>
      <xdr:row>33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05582F-649E-A968-2D1C-A3A12D2D0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7620</xdr:rowOff>
    </xdr:from>
    <xdr:to>
      <xdr:col>11</xdr:col>
      <xdr:colOff>304800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D3A09-8C8B-E23A-1696-4696C47DF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0</xdr:row>
      <xdr:rowOff>175260</xdr:rowOff>
    </xdr:from>
    <xdr:to>
      <xdr:col>11</xdr:col>
      <xdr:colOff>601980</xdr:colOff>
      <xdr:row>15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632ED7-AFD6-18D4-7F98-4832375CB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213360</xdr:colOff>
      <xdr:row>8</xdr:row>
      <xdr:rowOff>156210</xdr:rowOff>
    </xdr:from>
    <xdr:to>
      <xdr:col>13</xdr:col>
      <xdr:colOff>419100</xdr:colOff>
      <xdr:row>307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E4828E-2089-8C73-5E37-337D0DC2D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136628</xdr:colOff>
      <xdr:row>4</xdr:row>
      <xdr:rowOff>257522</xdr:rowOff>
    </xdr:from>
    <xdr:to>
      <xdr:col>10</xdr:col>
      <xdr:colOff>35828</xdr:colOff>
      <xdr:row>9</xdr:row>
      <xdr:rowOff>105962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DED0C37-C3EA-0CCE-7D10-C8AA85139D10}"/>
            </a:ext>
          </a:extLst>
        </xdr:cNvPr>
        <xdr:cNvSpPr/>
      </xdr:nvSpPr>
      <xdr:spPr>
        <a:xfrm>
          <a:off x="4403828" y="1222722"/>
          <a:ext cx="1728000" cy="991440"/>
        </a:xfrm>
        <a:prstGeom prst="roundRect">
          <a:avLst/>
        </a:prstGeom>
        <a:solidFill>
          <a:srgbClr val="CCECFF"/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rgbClr val="00B050"/>
              </a:solidFill>
            </a:rPr>
            <a:t>Total Sales</a:t>
          </a:r>
        </a:p>
        <a:p>
          <a:pPr algn="ctr"/>
          <a:r>
            <a:rPr lang="en-IN" sz="1400" b="1">
              <a:solidFill>
                <a:schemeClr val="tx2"/>
              </a:solidFill>
            </a:rPr>
            <a:t>$2.29M</a:t>
          </a:r>
        </a:p>
        <a:p>
          <a:pPr algn="ctr"/>
          <a:r>
            <a:rPr lang="en-IN" sz="1400" b="1">
              <a:solidFill>
                <a:srgbClr val="00B050"/>
              </a:solidFill>
            </a:rPr>
            <a:t>Revenue</a:t>
          </a:r>
        </a:p>
        <a:p>
          <a:pPr algn="l"/>
          <a:endParaRPr lang="en-IN" sz="1100"/>
        </a:p>
      </xdr:txBody>
    </xdr:sp>
    <xdr:clientData/>
  </xdr:twoCellAnchor>
  <xdr:twoCellAnchor>
    <xdr:from>
      <xdr:col>11</xdr:col>
      <xdr:colOff>104544</xdr:colOff>
      <xdr:row>4</xdr:row>
      <xdr:rowOff>261621</xdr:rowOff>
    </xdr:from>
    <xdr:to>
      <xdr:col>14</xdr:col>
      <xdr:colOff>3744</xdr:colOff>
      <xdr:row>9</xdr:row>
      <xdr:rowOff>110061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7DFA160-A956-D9B6-323B-A2334613CE3B}"/>
            </a:ext>
          </a:extLst>
        </xdr:cNvPr>
        <xdr:cNvSpPr/>
      </xdr:nvSpPr>
      <xdr:spPr>
        <a:xfrm>
          <a:off x="6810144" y="1226821"/>
          <a:ext cx="1728000" cy="991440"/>
        </a:xfrm>
        <a:prstGeom prst="roundRect">
          <a:avLst/>
        </a:prstGeom>
        <a:solidFill>
          <a:srgbClr val="CCECFF"/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rgbClr val="00B050"/>
              </a:solidFill>
            </a:rPr>
            <a:t>Total Profit</a:t>
          </a:r>
        </a:p>
        <a:p>
          <a:pPr algn="ctr"/>
          <a:r>
            <a:rPr lang="en-IN" sz="1400" b="1">
              <a:solidFill>
                <a:schemeClr val="tx2"/>
              </a:solidFill>
            </a:rPr>
            <a:t>$286K</a:t>
          </a:r>
        </a:p>
        <a:p>
          <a:pPr algn="ctr"/>
          <a:r>
            <a:rPr lang="en-IN" sz="1400" b="1">
              <a:solidFill>
                <a:srgbClr val="00B050"/>
              </a:solidFill>
            </a:rPr>
            <a:t>Net profit</a:t>
          </a:r>
        </a:p>
        <a:p>
          <a:pPr algn="l"/>
          <a:endParaRPr lang="en-IN" sz="1100"/>
        </a:p>
      </xdr:txBody>
    </xdr:sp>
    <xdr:clientData/>
  </xdr:twoCellAnchor>
  <xdr:twoCellAnchor>
    <xdr:from>
      <xdr:col>3</xdr:col>
      <xdr:colOff>8594</xdr:colOff>
      <xdr:row>4</xdr:row>
      <xdr:rowOff>255223</xdr:rowOff>
    </xdr:from>
    <xdr:to>
      <xdr:col>5</xdr:col>
      <xdr:colOff>517394</xdr:colOff>
      <xdr:row>9</xdr:row>
      <xdr:rowOff>103663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4F49D549-6006-1637-47BA-4BA22C362258}"/>
            </a:ext>
          </a:extLst>
        </xdr:cNvPr>
        <xdr:cNvSpPr/>
      </xdr:nvSpPr>
      <xdr:spPr>
        <a:xfrm>
          <a:off x="1837394" y="1220423"/>
          <a:ext cx="1728000" cy="991440"/>
        </a:xfrm>
        <a:prstGeom prst="roundRect">
          <a:avLst>
            <a:gd name="adj" fmla="val 11631"/>
          </a:avLst>
        </a:prstGeom>
        <a:solidFill>
          <a:srgbClr val="CCECFF"/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rgbClr val="00B050"/>
              </a:solidFill>
            </a:rPr>
            <a:t>Total Orders</a:t>
          </a:r>
        </a:p>
        <a:p>
          <a:pPr algn="ctr"/>
          <a:r>
            <a:rPr lang="en-IN" sz="1400" b="1">
              <a:solidFill>
                <a:schemeClr val="tx2"/>
              </a:solidFill>
            </a:rPr>
            <a:t>5,009</a:t>
          </a:r>
        </a:p>
        <a:p>
          <a:pPr algn="ctr"/>
          <a:r>
            <a:rPr lang="en-IN" sz="1400" b="1">
              <a:solidFill>
                <a:srgbClr val="00B050"/>
              </a:solidFill>
            </a:rPr>
            <a:t>Orders</a:t>
          </a:r>
        </a:p>
        <a:p>
          <a:pPr algn="l"/>
          <a:endParaRPr lang="en-IN" sz="1100"/>
        </a:p>
      </xdr:txBody>
    </xdr:sp>
    <xdr:clientData/>
  </xdr:twoCellAnchor>
  <xdr:twoCellAnchor>
    <xdr:from>
      <xdr:col>15</xdr:col>
      <xdr:colOff>40935</xdr:colOff>
      <xdr:row>4</xdr:row>
      <xdr:rowOff>310091</xdr:rowOff>
    </xdr:from>
    <xdr:to>
      <xdr:col>17</xdr:col>
      <xdr:colOff>549735</xdr:colOff>
      <xdr:row>9</xdr:row>
      <xdr:rowOff>158531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5E8A4EB-0111-84B5-93B7-A651DF3B4CF9}"/>
            </a:ext>
          </a:extLst>
        </xdr:cNvPr>
        <xdr:cNvSpPr/>
      </xdr:nvSpPr>
      <xdr:spPr>
        <a:xfrm>
          <a:off x="9184935" y="1275291"/>
          <a:ext cx="1728000" cy="991440"/>
        </a:xfrm>
        <a:prstGeom prst="roundRect">
          <a:avLst/>
        </a:prstGeom>
        <a:solidFill>
          <a:srgbClr val="CCECFF"/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rgbClr val="00B050"/>
              </a:solidFill>
            </a:rPr>
            <a:t>Customers</a:t>
          </a:r>
        </a:p>
        <a:p>
          <a:pPr algn="ctr"/>
          <a:r>
            <a:rPr lang="en-IN" sz="1400" b="1">
              <a:solidFill>
                <a:schemeClr val="tx2"/>
              </a:solidFill>
            </a:rPr>
            <a:t>793</a:t>
          </a:r>
        </a:p>
        <a:p>
          <a:pPr algn="ctr"/>
          <a:r>
            <a:rPr lang="en-IN" sz="1400" b="1">
              <a:solidFill>
                <a:srgbClr val="00B050"/>
              </a:solidFill>
            </a:rPr>
            <a:t>Unique customers</a:t>
          </a:r>
        </a:p>
        <a:p>
          <a:pPr algn="l"/>
          <a:endParaRPr lang="en-IN" sz="1100"/>
        </a:p>
      </xdr:txBody>
    </xdr:sp>
    <xdr:clientData/>
  </xdr:twoCellAnchor>
  <xdr:twoCellAnchor>
    <xdr:from>
      <xdr:col>19</xdr:col>
      <xdr:colOff>42765</xdr:colOff>
      <xdr:row>4</xdr:row>
      <xdr:rowOff>274417</xdr:rowOff>
    </xdr:from>
    <xdr:to>
      <xdr:col>21</xdr:col>
      <xdr:colOff>551565</xdr:colOff>
      <xdr:row>9</xdr:row>
      <xdr:rowOff>122857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169307E-D98D-917D-9368-0ABA0694C70B}"/>
            </a:ext>
          </a:extLst>
        </xdr:cNvPr>
        <xdr:cNvSpPr/>
      </xdr:nvSpPr>
      <xdr:spPr>
        <a:xfrm>
          <a:off x="11625165" y="1239617"/>
          <a:ext cx="1728000" cy="991440"/>
        </a:xfrm>
        <a:prstGeom prst="roundRect">
          <a:avLst/>
        </a:prstGeom>
        <a:solidFill>
          <a:srgbClr val="CCECFF"/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rgbClr val="00B050"/>
              </a:solidFill>
            </a:rPr>
            <a:t>Avg Order Value</a:t>
          </a:r>
        </a:p>
        <a:p>
          <a:pPr algn="ctr"/>
          <a:r>
            <a:rPr lang="en-IN" sz="1400" b="1">
              <a:solidFill>
                <a:schemeClr val="tx2"/>
              </a:solidFill>
            </a:rPr>
            <a:t>$458.61</a:t>
          </a:r>
        </a:p>
        <a:p>
          <a:pPr algn="ctr"/>
          <a:r>
            <a:rPr lang="en-IN" sz="1400" b="1">
              <a:solidFill>
                <a:srgbClr val="00B050"/>
              </a:solidFill>
            </a:rPr>
            <a:t>Per order</a:t>
          </a:r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200172</xdr:colOff>
      <xdr:row>14</xdr:row>
      <xdr:rowOff>85412</xdr:rowOff>
    </xdr:from>
    <xdr:to>
      <xdr:col>7</xdr:col>
      <xdr:colOff>72972</xdr:colOff>
      <xdr:row>27</xdr:row>
      <xdr:rowOff>128912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92FF458-C54E-4928-99B9-D32F39BF5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507061</xdr:colOff>
      <xdr:row>30</xdr:row>
      <xdr:rowOff>67044</xdr:rowOff>
    </xdr:from>
    <xdr:to>
      <xdr:col>6</xdr:col>
      <xdr:colOff>161461</xdr:colOff>
      <xdr:row>42</xdr:row>
      <xdr:rowOff>93444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1C9901E-F4F1-4E2E-975A-F81BB46D2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449730</xdr:colOff>
      <xdr:row>30</xdr:row>
      <xdr:rowOff>75610</xdr:rowOff>
    </xdr:from>
    <xdr:to>
      <xdr:col>37</xdr:col>
      <xdr:colOff>212130</xdr:colOff>
      <xdr:row>42</xdr:row>
      <xdr:rowOff>102010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DC476A4-C4A4-42FC-A1E5-491CB3D75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565559</xdr:colOff>
      <xdr:row>30</xdr:row>
      <xdr:rowOff>101682</xdr:rowOff>
    </xdr:from>
    <xdr:to>
      <xdr:col>29</xdr:col>
      <xdr:colOff>219959</xdr:colOff>
      <xdr:row>42</xdr:row>
      <xdr:rowOff>128082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89B5DCF-9CB8-48BC-A9A7-EDE2ADC45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599796</xdr:colOff>
      <xdr:row>14</xdr:row>
      <xdr:rowOff>112364</xdr:rowOff>
    </xdr:from>
    <xdr:to>
      <xdr:col>14</xdr:col>
      <xdr:colOff>292596</xdr:colOff>
      <xdr:row>27</xdr:row>
      <xdr:rowOff>155864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09610DB-B307-4EF4-98F2-A354A9706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330385</xdr:colOff>
      <xdr:row>14</xdr:row>
      <xdr:rowOff>107278</xdr:rowOff>
    </xdr:from>
    <xdr:to>
      <xdr:col>22</xdr:col>
      <xdr:colOff>383185</xdr:colOff>
      <xdr:row>27</xdr:row>
      <xdr:rowOff>150778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CD12E30-FC0B-47BF-AA0B-DBDAFD5BE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522193</xdr:colOff>
      <xdr:row>30</xdr:row>
      <xdr:rowOff>115421</xdr:rowOff>
    </xdr:from>
    <xdr:to>
      <xdr:col>21</xdr:col>
      <xdr:colOff>284593</xdr:colOff>
      <xdr:row>42</xdr:row>
      <xdr:rowOff>141821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73C4838-A736-4B50-BC48-BC32E3CBC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406173</xdr:colOff>
      <xdr:row>14</xdr:row>
      <xdr:rowOff>179312</xdr:rowOff>
    </xdr:from>
    <xdr:to>
      <xdr:col>30</xdr:col>
      <xdr:colOff>386973</xdr:colOff>
      <xdr:row>28</xdr:row>
      <xdr:rowOff>45012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24343EA-EDF4-4488-A937-5B2348781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419100</xdr:colOff>
      <xdr:row>14</xdr:row>
      <xdr:rowOff>164326</xdr:rowOff>
    </xdr:from>
    <xdr:to>
      <xdr:col>38</xdr:col>
      <xdr:colOff>291900</xdr:colOff>
      <xdr:row>28</xdr:row>
      <xdr:rowOff>30026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5C75AE7-E5B2-4ED0-B6FE-87E76A31A6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91305</xdr:colOff>
      <xdr:row>30</xdr:row>
      <xdr:rowOff>99409</xdr:rowOff>
    </xdr:from>
    <xdr:to>
      <xdr:col>13</xdr:col>
      <xdr:colOff>355305</xdr:colOff>
      <xdr:row>42</xdr:row>
      <xdr:rowOff>125809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70C7F87-5CAE-4BEB-93F2-2B09AFB54B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431800</xdr:colOff>
      <xdr:row>1</xdr:row>
      <xdr:rowOff>137292</xdr:rowOff>
    </xdr:from>
    <xdr:to>
      <xdr:col>37</xdr:col>
      <xdr:colOff>520700</xdr:colOff>
      <xdr:row>13</xdr:row>
      <xdr:rowOff>63500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2BC195F4-31CC-A415-83D1-D5A3DDF15632}"/>
            </a:ext>
          </a:extLst>
        </xdr:cNvPr>
        <xdr:cNvSpPr/>
      </xdr:nvSpPr>
      <xdr:spPr>
        <a:xfrm>
          <a:off x="14452600" y="315092"/>
          <a:ext cx="8623300" cy="2669408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Key Business Insights</a:t>
          </a:r>
          <a:r>
            <a:rPr lang="en-IN" sz="1600" b="0">
              <a:solidFill>
                <a:srgbClr val="FF0000"/>
              </a:solidFill>
              <a:effectLst/>
            </a:rPr>
            <a:t> </a:t>
          </a:r>
        </a:p>
        <a:p>
          <a:endParaRPr lang="en-IN" sz="1100" b="0">
            <a:solidFill>
              <a:srgbClr val="FF0000"/>
            </a:solidFill>
            <a:effectLst/>
          </a:endParaRPr>
        </a:p>
        <a:p>
          <a:pPr fontAlgn="b"/>
          <a:r>
            <a:rPr lang="en-IN" sz="1000" b="0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• Technology is the top-performing category in both sales and profit.</a:t>
          </a:r>
        </a:p>
        <a:p>
          <a:pPr fontAlgn="b"/>
          <a:r>
            <a:rPr lang="en-IN" sz="1000" b="0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• Consumer is the largest customer segment, generating 1.16M in sales. Hence l</a:t>
          </a:r>
          <a:r>
            <a:rPr lang="en-IN" sz="1000">
              <a:solidFill>
                <a:schemeClr val="tx2"/>
              </a:solidFill>
            </a:rPr>
            <a:t>aunching loyalty programs, personalized offers, and targeted promotions improve customer retention and repeat</a:t>
          </a:r>
          <a:r>
            <a:rPr lang="en-IN" sz="1000" baseline="0">
              <a:solidFill>
                <a:schemeClr val="tx2"/>
              </a:solidFill>
            </a:rPr>
            <a:t> </a:t>
          </a:r>
          <a:r>
            <a:rPr lang="en-IN" sz="1000">
              <a:solidFill>
                <a:schemeClr val="tx2"/>
              </a:solidFill>
            </a:rPr>
            <a:t>purchases.</a:t>
          </a:r>
          <a:endParaRPr lang="en-IN" sz="1000" b="0" i="0" u="none" strike="noStrike">
            <a:solidFill>
              <a:schemeClr val="tx2"/>
            </a:solidFill>
            <a:effectLst/>
            <a:latin typeface="+mn-lt"/>
            <a:ea typeface="+mn-ea"/>
            <a:cs typeface="+mn-cs"/>
          </a:endParaRPr>
        </a:p>
        <a:p>
          <a:pPr fontAlgn="b"/>
          <a:r>
            <a:rPr lang="en-IN" sz="1000" b="0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• West is the highest revenue-generating region. </a:t>
          </a:r>
          <a:r>
            <a:rPr lang="en-IN" sz="1000">
              <a:solidFill>
                <a:schemeClr val="tx2"/>
              </a:solidFill>
            </a:rPr>
            <a:t>Expanding distribution, advertising, and product availability in the West region while identifying practices that can be replicated in lower-performing regions</a:t>
          </a:r>
          <a:r>
            <a:rPr lang="en-IN" sz="1000" baseline="0">
              <a:solidFill>
                <a:schemeClr val="tx2"/>
              </a:solidFill>
            </a:rPr>
            <a:t> will be helpful.</a:t>
          </a:r>
          <a:endParaRPr lang="en-IN" sz="1000" b="0" i="0" u="none" strike="noStrike">
            <a:solidFill>
              <a:schemeClr val="tx2"/>
            </a:solidFill>
            <a:effectLst/>
            <a:latin typeface="+mn-lt"/>
            <a:ea typeface="+mn-ea"/>
            <a:cs typeface="+mn-cs"/>
          </a:endParaRPr>
        </a:p>
        <a:p>
          <a:pPr fontAlgn="b"/>
          <a:r>
            <a:rPr lang="en-IN" sz="1000" b="0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• California is the top-performing state. Thus p</a:t>
          </a:r>
          <a:r>
            <a:rPr lang="en-IN" sz="1000">
              <a:solidFill>
                <a:schemeClr val="tx2"/>
              </a:solidFill>
            </a:rPr>
            <a:t>rioritize California for new product launches, premium offerings, and customer acquisition campaigns due to its strong market potential.</a:t>
          </a:r>
          <a:endParaRPr lang="en-IN" sz="1000" b="0" i="0" u="none" strike="noStrike">
            <a:solidFill>
              <a:schemeClr val="tx2"/>
            </a:solidFill>
            <a:effectLst/>
            <a:latin typeface="+mn-lt"/>
            <a:ea typeface="+mn-ea"/>
            <a:cs typeface="+mn-cs"/>
          </a:endParaRPr>
        </a:p>
        <a:p>
          <a:pPr fontAlgn="b"/>
          <a:r>
            <a:rPr lang="en-IN" sz="1000" b="0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• Sales peak in November and December, showing strong seasonality. </a:t>
          </a:r>
          <a:r>
            <a:rPr lang="en-IN" sz="1000">
              <a:solidFill>
                <a:schemeClr val="tx2"/>
              </a:solidFill>
            </a:rPr>
            <a:t>Prepare inventory and marketing early</a:t>
          </a:r>
          <a:r>
            <a:rPr lang="en-IN" sz="1000"/>
            <a:t>.</a:t>
          </a:r>
          <a:r>
            <a:rPr lang="en-IN" sz="1000">
              <a:solidFill>
                <a:schemeClr val="tx2"/>
              </a:solidFill>
            </a:rPr>
            <a:t>before the holiday season to capture higher demand.</a:t>
          </a:r>
          <a:endParaRPr lang="en-IN" sz="1000" b="0" i="0" u="none" strike="noStrike">
            <a:solidFill>
              <a:schemeClr val="tx2"/>
            </a:solidFill>
            <a:effectLst/>
            <a:latin typeface="+mn-lt"/>
            <a:ea typeface="+mn-ea"/>
            <a:cs typeface="+mn-cs"/>
          </a:endParaRPr>
        </a:p>
        <a:p>
          <a:pPr fontAlgn="b"/>
          <a:r>
            <a:rPr lang="en-IN" sz="1000" b="0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• Discounts above 30% generally lead to negative average profits.</a:t>
          </a:r>
        </a:p>
        <a:p>
          <a:pPr fontAlgn="b"/>
          <a:r>
            <a:rPr lang="en-IN" sz="1000" b="0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• Standard Class is the most preferred shipping mode.</a:t>
          </a:r>
        </a:p>
        <a:p>
          <a:pPr fontAlgn="b"/>
          <a:r>
            <a:rPr lang="en-IN" sz="1100" b="0" i="0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en-I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IN" sz="1000">
              <a:solidFill>
                <a:schemeClr val="tx2"/>
              </a:solidFill>
            </a:rPr>
            <a:t>Review pricing, supplier costs, and product mix to improve margins, and focus on promoting higher-profit products.</a:t>
          </a:r>
          <a:endParaRPr lang="en-IN" sz="1000" b="0" i="0" u="none" strike="noStrike">
            <a:solidFill>
              <a:schemeClr val="tx2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" refreshedDate="46205.510639236112" createdVersion="8" refreshedVersion="8" minRefreshableVersion="3" recordCount="3" xr:uid="{22F896EB-2124-4CB0-9EB7-5F6709D189DD}">
  <cacheSource type="worksheet">
    <worksheetSource ref="E2:H5" sheet="Problem_2"/>
  </cacheSource>
  <cacheFields count="4">
    <cacheField name="Sl.No" numFmtId="0">
      <sharedItems containsSemiMixedTypes="0" containsString="0" containsNumber="1" containsInteger="1" minValue="1" maxValue="3"/>
    </cacheField>
    <cacheField name="Category" numFmtId="0">
      <sharedItems count="3">
        <s v="Technology"/>
        <s v="Furniture"/>
        <s v="Office Supplies"/>
      </sharedItems>
    </cacheField>
    <cacheField name="Sales" numFmtId="0">
      <sharedItems containsSemiMixedTypes="0" containsString="0" containsNumber="1" minValue="719047.03" maxValue="836154.03" count="3">
        <n v="836154.03"/>
        <n v="741999.8"/>
        <n v="719047.03"/>
      </sharedItems>
    </cacheField>
    <cacheField name="Profit" numFmtId="0">
      <sharedItems containsSemiMixedTypes="0" containsString="0" containsNumber="1" minValue="18451.27" maxValue="145454.95000000001" count="3">
        <n v="145454.95000000001"/>
        <n v="18451.27"/>
        <n v="122490.8"/>
      </sharedItems>
    </cacheField>
  </cacheFields>
  <extLst>
    <ext xmlns:x14="http://schemas.microsoft.com/office/spreadsheetml/2009/9/main" uri="{725AE2AE-9491-48be-B2B4-4EB974FC3084}">
      <x14:pivotCacheDefinition pivotCacheId="19448891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" refreshedDate="46205.529042361108" createdVersion="8" refreshedVersion="8" minRefreshableVersion="3" recordCount="48" xr:uid="{82ADED12-D7C5-40FD-BEE8-DB656BDFF690}">
  <cacheSource type="worksheet">
    <worksheetSource ref="A2:D50" sheet="Problem_5"/>
  </cacheSource>
  <cacheFields count="4">
    <cacheField name="Month" numFmtId="0">
      <sharedItems/>
    </cacheField>
    <cacheField name="Year" numFmtId="0">
      <sharedItems count="4">
        <s v="2014"/>
        <s v="2015"/>
        <s v="2016"/>
        <s v="2017"/>
      </sharedItems>
    </cacheField>
    <cacheField name="Month Name" numFmtId="14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Sales" numFmtId="0">
      <sharedItems containsSemiMixedTypes="0" containsString="0" containsNumber="1" minValue="4519.8900000000003" maxValue="118447.83"/>
    </cacheField>
  </cacheFields>
  <extLst>
    <ext xmlns:x14="http://schemas.microsoft.com/office/spreadsheetml/2009/9/main" uri="{725AE2AE-9491-48be-B2B4-4EB974FC3084}">
      <x14:pivotCacheDefinition pivotCacheId="466161728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" refreshedDate="46205.534313773147" createdVersion="8" refreshedVersion="8" minRefreshableVersion="3" recordCount="1850" xr:uid="{3FDABE73-9021-4056-8C2E-2912D8331FE2}">
  <cacheSource type="worksheet">
    <worksheetSource ref="F2:H1852" sheet="Problem_8"/>
  </cacheSource>
  <cacheFields count="3">
    <cacheField name="Product Name" numFmtId="0">
      <sharedItems/>
    </cacheField>
    <cacheField name="Profit" numFmtId="0">
      <sharedItems containsSemiMixedTypes="0" containsString="0" containsNumber="1" minValue="-8879.9704000000002" maxValue="25199.928"/>
    </cacheField>
    <cacheField name="Profit_Category" numFmtId="0">
      <sharedItems count="3">
        <s v="Low Profit"/>
        <s v="Medium Profit"/>
        <s v="High Profi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"/>
    <x v="0"/>
    <x v="0"/>
    <x v="0"/>
  </r>
  <r>
    <n v="2"/>
    <x v="1"/>
    <x v="1"/>
    <x v="1"/>
  </r>
  <r>
    <n v="3"/>
    <x v="2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2014-01"/>
    <x v="0"/>
    <x v="0"/>
    <n v="14236.9"/>
  </r>
  <r>
    <s v="2014-02"/>
    <x v="0"/>
    <x v="1"/>
    <n v="4519.8900000000003"/>
  </r>
  <r>
    <s v="2014-03"/>
    <x v="0"/>
    <x v="2"/>
    <n v="55691.01"/>
  </r>
  <r>
    <s v="2014-04"/>
    <x v="0"/>
    <x v="3"/>
    <n v="28295.35"/>
  </r>
  <r>
    <s v="2014-05"/>
    <x v="0"/>
    <x v="4"/>
    <n v="23648.29"/>
  </r>
  <r>
    <s v="2014-06"/>
    <x v="0"/>
    <x v="5"/>
    <n v="34595.129999999997"/>
  </r>
  <r>
    <s v="2014-07"/>
    <x v="0"/>
    <x v="6"/>
    <n v="33946.39"/>
  </r>
  <r>
    <s v="2014-08"/>
    <x v="0"/>
    <x v="7"/>
    <n v="27909.47"/>
  </r>
  <r>
    <s v="2014-09"/>
    <x v="0"/>
    <x v="8"/>
    <n v="81777.350000000006"/>
  </r>
  <r>
    <s v="2014-10"/>
    <x v="0"/>
    <x v="9"/>
    <n v="31453.39"/>
  </r>
  <r>
    <s v="2014-11"/>
    <x v="0"/>
    <x v="10"/>
    <n v="78628.72"/>
  </r>
  <r>
    <s v="2014-12"/>
    <x v="0"/>
    <x v="11"/>
    <n v="69545.62"/>
  </r>
  <r>
    <s v="2015-01"/>
    <x v="1"/>
    <x v="0"/>
    <n v="18174.080000000002"/>
  </r>
  <r>
    <s v="2015-02"/>
    <x v="1"/>
    <x v="1"/>
    <n v="11951.41"/>
  </r>
  <r>
    <s v="2015-03"/>
    <x v="1"/>
    <x v="2"/>
    <n v="38726.25"/>
  </r>
  <r>
    <s v="2015-04"/>
    <x v="1"/>
    <x v="3"/>
    <n v="34195.21"/>
  </r>
  <r>
    <s v="2015-05"/>
    <x v="1"/>
    <x v="4"/>
    <n v="30131.69"/>
  </r>
  <r>
    <s v="2015-06"/>
    <x v="1"/>
    <x v="5"/>
    <n v="24797.29"/>
  </r>
  <r>
    <s v="2015-07"/>
    <x v="1"/>
    <x v="6"/>
    <n v="28765.33"/>
  </r>
  <r>
    <s v="2015-08"/>
    <x v="1"/>
    <x v="7"/>
    <n v="36898.33"/>
  </r>
  <r>
    <s v="2015-09"/>
    <x v="1"/>
    <x v="8"/>
    <n v="64595.92"/>
  </r>
  <r>
    <s v="2015-10"/>
    <x v="1"/>
    <x v="9"/>
    <n v="31404.92"/>
  </r>
  <r>
    <s v="2015-11"/>
    <x v="1"/>
    <x v="10"/>
    <n v="75972.56"/>
  </r>
  <r>
    <s v="2015-12"/>
    <x v="1"/>
    <x v="11"/>
    <n v="74919.520000000004"/>
  </r>
  <r>
    <s v="2016-01"/>
    <x v="2"/>
    <x v="0"/>
    <n v="18542.490000000002"/>
  </r>
  <r>
    <s v="2016-02"/>
    <x v="2"/>
    <x v="1"/>
    <n v="22978.82"/>
  </r>
  <r>
    <s v="2016-03"/>
    <x v="2"/>
    <x v="2"/>
    <n v="51715.88"/>
  </r>
  <r>
    <s v="2016-04"/>
    <x v="2"/>
    <x v="3"/>
    <n v="38750.04"/>
  </r>
  <r>
    <s v="2016-05"/>
    <x v="2"/>
    <x v="4"/>
    <n v="56987.73"/>
  </r>
  <r>
    <s v="2016-06"/>
    <x v="2"/>
    <x v="5"/>
    <n v="40344.53"/>
  </r>
  <r>
    <s v="2016-07"/>
    <x v="2"/>
    <x v="6"/>
    <n v="39261.96"/>
  </r>
  <r>
    <s v="2016-08"/>
    <x v="2"/>
    <x v="7"/>
    <n v="31115.37"/>
  </r>
  <r>
    <s v="2016-09"/>
    <x v="2"/>
    <x v="8"/>
    <n v="73410.02"/>
  </r>
  <r>
    <s v="2016-10"/>
    <x v="2"/>
    <x v="9"/>
    <n v="59687.75"/>
  </r>
  <r>
    <s v="2016-11"/>
    <x v="2"/>
    <x v="10"/>
    <n v="79411.97"/>
  </r>
  <r>
    <s v="2016-12"/>
    <x v="2"/>
    <x v="11"/>
    <n v="96999.039999999994"/>
  </r>
  <r>
    <s v="2017-01"/>
    <x v="3"/>
    <x v="0"/>
    <n v="43971.37"/>
  </r>
  <r>
    <s v="2017-02"/>
    <x v="3"/>
    <x v="1"/>
    <n v="20301.13"/>
  </r>
  <r>
    <s v="2017-03"/>
    <x v="3"/>
    <x v="2"/>
    <n v="58872.35"/>
  </r>
  <r>
    <s v="2017-04"/>
    <x v="3"/>
    <x v="3"/>
    <n v="36521.54"/>
  </r>
  <r>
    <s v="2017-05"/>
    <x v="3"/>
    <x v="4"/>
    <n v="44261.11"/>
  </r>
  <r>
    <s v="2017-06"/>
    <x v="3"/>
    <x v="5"/>
    <n v="52981.73"/>
  </r>
  <r>
    <s v="2017-07"/>
    <x v="3"/>
    <x v="6"/>
    <n v="45264.42"/>
  </r>
  <r>
    <s v="2017-08"/>
    <x v="3"/>
    <x v="7"/>
    <n v="63120.89"/>
  </r>
  <r>
    <s v="2017-09"/>
    <x v="3"/>
    <x v="8"/>
    <n v="87866.65"/>
  </r>
  <r>
    <s v="2017-10"/>
    <x v="3"/>
    <x v="9"/>
    <n v="77776.92"/>
  </r>
  <r>
    <s v="2017-11"/>
    <x v="3"/>
    <x v="10"/>
    <n v="118447.83"/>
  </r>
  <r>
    <s v="2017-12"/>
    <x v="3"/>
    <x v="11"/>
    <n v="83829.32000000000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0">
  <r>
    <s v="&quot;While you Were Out&quot; Message Book, One Form per Page"/>
    <n v="10.388"/>
    <x v="0"/>
  </r>
  <r>
    <s v="#10 Gummed Flap White Envelopes, 100/Box"/>
    <n v="16.767800000000001"/>
    <x v="0"/>
  </r>
  <r>
    <s v="#10 Self-Seal White Envelopes"/>
    <n v="52.122999999999998"/>
    <x v="0"/>
  </r>
  <r>
    <s v="#10 White Business Envelopes,4 1/8 x 9 1/2"/>
    <n v="223.14080000000001"/>
    <x v="1"/>
  </r>
  <r>
    <s v="#10- 4 1/8&quot; x 9 1/2&quot; Recycled Envelopes"/>
    <n v="115.28060000000001"/>
    <x v="1"/>
  </r>
  <r>
    <s v="#10- 4 1/8&quot; x 9 1/2&quot; Security-Tint Envelopes"/>
    <n v="64.863600000000005"/>
    <x v="0"/>
  </r>
  <r>
    <s v="#10-4 1/8&quot; x 9 1/2&quot; Premium Diagonal Seam Envelopes"/>
    <n v="63.747"/>
    <x v="0"/>
  </r>
  <r>
    <s v="#6 3/4 Gummed Flap White Envelopes"/>
    <n v="24.948"/>
    <x v="0"/>
  </r>
  <r>
    <s v="1.7 Cubic Foot Compact &quot;Cube&quot; Office Refrigerators"/>
    <n v="578.68480000000011"/>
    <x v="2"/>
  </r>
  <r>
    <s v="1/4 Fold Party Design Invitations &amp; White Envelopes, 24 8-1/2&quot; X 11&quot; Cards, 25 Env./Pack"/>
    <n v="22.711500000000001"/>
    <x v="0"/>
  </r>
  <r>
    <s v="12 Colored Short Pencils"/>
    <n v="3.016"/>
    <x v="0"/>
  </r>
  <r>
    <s v="12-1/2 Diameter Round Wall Clock"/>
    <n v="91.108800000000002"/>
    <x v="0"/>
  </r>
  <r>
    <s v="14-7/8 x 11 Blue Bar Computer Printout Paper"/>
    <n v="172.94399999999999"/>
    <x v="1"/>
  </r>
  <r>
    <s v="2300 Heavy-Duty Transfer File Systems by Perma"/>
    <n v="20.9832"/>
    <x v="0"/>
  </r>
  <r>
    <s v="24 Capacity Maxi Data Binder Racks, Pearl"/>
    <n v="536.90249999999992"/>
    <x v="2"/>
  </r>
  <r>
    <s v="24-Hour Round Wall Clock"/>
    <n v="180.0198"/>
    <x v="1"/>
  </r>
  <r>
    <s v="3-ring staple pack"/>
    <n v="16.694400000000002"/>
    <x v="0"/>
  </r>
  <r>
    <s v="3.6 Cubic Foot Counter Height Office Refrigerator"/>
    <n v="-872.0752"/>
    <x v="0"/>
  </r>
  <r>
    <s v="36X48 HARDFLOOR CHAIRMAT"/>
    <n v="-40.491399999999992"/>
    <x v="0"/>
  </r>
  <r>
    <s v="3D Systems Cube Printer, 2nd Generation, Magenta"/>
    <n v="3717.9713999999999"/>
    <x v="2"/>
  </r>
  <r>
    <s v="3D Systems Cube Printer, 2nd Generation, White"/>
    <n v="-467.99639999999999"/>
    <x v="0"/>
  </r>
  <r>
    <s v="3M Hangers With Command Adhesive"/>
    <n v="36.000999999999998"/>
    <x v="0"/>
  </r>
  <r>
    <s v="3M Office Air Cleaner"/>
    <n v="90.93"/>
    <x v="0"/>
  </r>
  <r>
    <s v="3M Organizer Strips"/>
    <n v="10.151999999999999"/>
    <x v="0"/>
  </r>
  <r>
    <s v="3M Polarizing Light Filter Sleeves"/>
    <n v="75.346000000000004"/>
    <x v="0"/>
  </r>
  <r>
    <s v="3M Polarizing Task Lamp with Clamp Arm, Light Gray"/>
    <n v="569.83680000000004"/>
    <x v="2"/>
  </r>
  <r>
    <s v="3M Replacement Filter for Office Air Cleaner for 20' x 33' Room"/>
    <n v="-20.476800000000001"/>
    <x v="0"/>
  </r>
  <r>
    <s v="4009 Highlighters"/>
    <n v="2.7336"/>
    <x v="0"/>
  </r>
  <r>
    <s v="4009 Highlighters by Sanford"/>
    <n v="53.809599999999989"/>
    <x v="0"/>
  </r>
  <r>
    <s v="50 Colored Long Pencils"/>
    <n v="32.918399999999998"/>
    <x v="0"/>
  </r>
  <r>
    <s v="6&quot; Cubicle Wall Clock, Black"/>
    <n v="26.211600000000001"/>
    <x v="0"/>
  </r>
  <r>
    <s v="9-3/4 Diameter Round Wall Clock"/>
    <n v="183.13120000000001"/>
    <x v="1"/>
  </r>
  <r>
    <s v="ACCOHIDE 3-Ring Binder, Blue, 1&quot;"/>
    <n v="50.7164"/>
    <x v="0"/>
  </r>
  <r>
    <s v="ACCOHIDE Binder by Acco"/>
    <n v="19.287099999999999"/>
    <x v="0"/>
  </r>
  <r>
    <s v="APC 7 Outlet Network SurgeArrest Surge Protector"/>
    <n v="80.479999999999976"/>
    <x v="0"/>
  </r>
  <r>
    <s v="ARKON Windshield Dashboard Air Vent Car Mount Holder"/>
    <n v="-15.593999999999999"/>
    <x v="0"/>
  </r>
  <r>
    <s v="AT&amp;T 1070 Corded Phone"/>
    <n v="133.78800000000001"/>
    <x v="1"/>
  </r>
  <r>
    <s v="AT&amp;T 1080 Corded phone"/>
    <n v="145.20939999999999"/>
    <x v="1"/>
  </r>
  <r>
    <s v="AT&amp;T 1080 Phone"/>
    <n v="271.24020000000002"/>
    <x v="1"/>
  </r>
  <r>
    <s v="AT&amp;T 17929 Lendline Telephone"/>
    <n v="167.38800000000001"/>
    <x v="1"/>
  </r>
  <r>
    <s v="AT&amp;T 841000 Phone"/>
    <n v="165.6"/>
    <x v="1"/>
  </r>
  <r>
    <s v="AT&amp;T CL2909"/>
    <n v="50.395999999999987"/>
    <x v="0"/>
  </r>
  <r>
    <s v="AT&amp;T CL82213"/>
    <n v="131.32470000000001"/>
    <x v="1"/>
  </r>
  <r>
    <s v="AT&amp;T CL83451 4-Handset Telephone"/>
    <n v="473.77699999999999"/>
    <x v="1"/>
  </r>
  <r>
    <s v="AT&amp;T EL51110 DECT"/>
    <n v="109.6113"/>
    <x v="1"/>
  </r>
  <r>
    <s v="AT&amp;T SB67148 SynJ"/>
    <n v="89.746400000000008"/>
    <x v="0"/>
  </r>
  <r>
    <s v="AT&amp;T TR1909W"/>
    <n v="340.173"/>
    <x v="1"/>
  </r>
  <r>
    <s v="Aastra 57i VoIP phone"/>
    <n v="575.33159999999998"/>
    <x v="2"/>
  </r>
  <r>
    <s v="Aastra 6757i CT Wireless VoIP phone"/>
    <n v="482.58560000000011"/>
    <x v="1"/>
  </r>
  <r>
    <s v="Acco 3-Hole Punch"/>
    <n v="55.538400000000003"/>
    <x v="0"/>
  </r>
  <r>
    <s v="Acco 6 Outlet Guardian Basic Surge Suppressor"/>
    <n v="-3.6608000000000001"/>
    <x v="0"/>
  </r>
  <r>
    <s v="Acco 6 Outlet Guardian Premium Plus Surge Suppressor"/>
    <n v="-113.7672"/>
    <x v="0"/>
  </r>
  <r>
    <s v="Acco 6 Outlet Guardian Premium Surge Suppressor"/>
    <n v="60.423999999999992"/>
    <x v="0"/>
  </r>
  <r>
    <s v="Acco 6 Outlet Guardian Standard Surge Suppressor"/>
    <n v="22.971"/>
    <x v="0"/>
  </r>
  <r>
    <s v="Acco 7-Outlet Masterpiece Power Center, Wihtout Fax/Phone Line Protection"/>
    <n v="401.214"/>
    <x v="1"/>
  </r>
  <r>
    <s v="Acco Banker's Clasps, 5 3/4&quot;-Long"/>
    <n v="18"/>
    <x v="0"/>
  </r>
  <r>
    <s v="Acco Clips to Go Binder Clips, 24 Clips in Two Sizes"/>
    <n v="30.281500000000001"/>
    <x v="0"/>
  </r>
  <r>
    <s v="Acco D-Ring Binder w/DublLock"/>
    <n v="-102.8378"/>
    <x v="0"/>
  </r>
  <r>
    <s v="Acco Data Flex Cable Posts For Top &amp; Bottom Load Binders, 6&quot; Capacity"/>
    <n v="64.144500000000008"/>
    <x v="0"/>
  </r>
  <r>
    <s v="Acco Economy Flexible Poly Round Ring Binder"/>
    <n v="-5.7419999999999991"/>
    <x v="0"/>
  </r>
  <r>
    <s v="Acco Expandable Hanging Binders"/>
    <n v="1.0207999999999999"/>
    <x v="0"/>
  </r>
  <r>
    <s v="Acco Flexible ACCOHIDE Square Ring Data Binder, Dark Blue, 11 1/2&quot; X 14&quot; 7/8&quot;"/>
    <n v="111.2868"/>
    <x v="1"/>
  </r>
  <r>
    <s v="Acco Four Pocket Poly Ring Binder with Label Holder, Smoke, 1&quot;"/>
    <n v="7.4499999999999993"/>
    <x v="0"/>
  </r>
  <r>
    <s v="Acco Glide Clips"/>
    <n v="9.6039999999999992"/>
    <x v="0"/>
  </r>
  <r>
    <s v="Acco Hanging Data Binders"/>
    <n v="8.2295999999999996"/>
    <x v="0"/>
  </r>
  <r>
    <s v="Acco Hot Clips Clips to Go"/>
    <n v="25.497499999999999"/>
    <x v="0"/>
  </r>
  <r>
    <s v="Acco PRESSTEX Data Binder with Storage Hooks, Dark Blue, 14 7/8&quot; X 11&quot;"/>
    <n v="73.867400000000004"/>
    <x v="0"/>
  </r>
  <r>
    <s v="Acco PRESSTEX Data Binder with Storage Hooks, Dark Blue, 9 1/2&quot; X 11&quot;"/>
    <n v="-0.1614000000000004"/>
    <x v="0"/>
  </r>
  <r>
    <s v="Acco PRESSTEX Data Binder with Storage Hooks, Light Blue, 9 1/2&quot; X 11&quot;"/>
    <n v="19.690799999999999"/>
    <x v="0"/>
  </r>
  <r>
    <s v="Acco Perma 2700 Stacking Storage Drawers"/>
    <n v="5.9480000000000004"/>
    <x v="0"/>
  </r>
  <r>
    <s v="Acco Perma 3000 Stacking Storage Drawers"/>
    <n v="16.574200000000001"/>
    <x v="0"/>
  </r>
  <r>
    <s v="Acco Perma 4000 Stacking Storage Drawers"/>
    <n v="30.044"/>
    <x v="0"/>
  </r>
  <r>
    <s v="Acco Pressboard Covers with Storage Hooks, 14 7/8&quot; x 11&quot;, Dark Blue"/>
    <n v="13.182600000000001"/>
    <x v="0"/>
  </r>
  <r>
    <s v="Acco Pressboard Covers with Storage Hooks, 14 7/8&quot; x 11&quot;, Executive Red"/>
    <n v="-13.906499999999999"/>
    <x v="0"/>
  </r>
  <r>
    <s v="Acco Pressboard Covers with Storage Hooks, 14 7/8&quot; x 11&quot;, Light Blue"/>
    <n v="18.412499999999991"/>
    <x v="0"/>
  </r>
  <r>
    <s v="Acco Pressboard Covers with Storage Hooks, 9 1/2&quot; x 11&quot;, Executive Red"/>
    <n v="34.8996"/>
    <x v="0"/>
  </r>
  <r>
    <s v="Acco Recycled 2&quot; Capacity Laser Printer Hanging Data Binders"/>
    <n v="8.6700000000000017"/>
    <x v="0"/>
  </r>
  <r>
    <s v="Acco Side-Punched Conventional Columnar Pads"/>
    <n v="-7.807500000000001"/>
    <x v="0"/>
  </r>
  <r>
    <s v="Acco Six-Outlet Power Strip, 4' Cord Length"/>
    <n v="81.545200000000008"/>
    <x v="0"/>
  </r>
  <r>
    <s v="Acco Smartsocket Color-Coded Six-Outlet AC Adapter Model Surge Protectors"/>
    <n v="-7.0415999999999963"/>
    <x v="0"/>
  </r>
  <r>
    <s v="Acco Smartsocket Table Surge Protector, 6 Color-Coded Adapter Outlets"/>
    <n v="105.485"/>
    <x v="1"/>
  </r>
  <r>
    <s v="Acco Suede Grain Vinyl Round Ring Binder"/>
    <n v="-4.8928000000000003"/>
    <x v="0"/>
  </r>
  <r>
    <s v="Acco Translucent Poly Ring Binders"/>
    <n v="16.2864"/>
    <x v="0"/>
  </r>
  <r>
    <s v="Accohide Poly Flexible Ring Binders"/>
    <n v="-19.821999999999999"/>
    <x v="0"/>
  </r>
  <r>
    <s v="Acme 10&quot; Easy Grip Assistive Scissors"/>
    <n v="129.72200000000001"/>
    <x v="1"/>
  </r>
  <r>
    <s v="Acme Box Cutter Scissors"/>
    <n v="72.223799999999983"/>
    <x v="0"/>
  </r>
  <r>
    <s v="Acme Design Line 8&quot; Stainless Steel Bent Scissors w/Champagne Handles, 3-1/8&quot; Cut"/>
    <n v="10.191599999999999"/>
    <x v="0"/>
  </r>
  <r>
    <s v="Acme Design Stainless Steel Bent Scissors"/>
    <n v="24.008400000000002"/>
    <x v="0"/>
  </r>
  <r>
    <s v="Acme Elite Stainless Steel Scissors"/>
    <n v="21.0168"/>
    <x v="0"/>
  </r>
  <r>
    <s v="Acme Forged Steel Scissors with Black Enamel Handles"/>
    <n v="67.776799999999994"/>
    <x v="0"/>
  </r>
  <r>
    <s v="Acme Galleria Hot Forged Steel Scissors with Colored Handles"/>
    <n v="49.864100000000001"/>
    <x v="0"/>
  </r>
  <r>
    <s v="Acme Hot Forged Carbon Steel Scissors with Nickel-Plated Handles, 3 7/8&quot; Cut, 8&quot;L"/>
    <n v="103.416"/>
    <x v="1"/>
  </r>
  <r>
    <s v="Acme Kleen Earth Office Shears"/>
    <n v="11.1744"/>
    <x v="0"/>
  </r>
  <r>
    <s v="Acme Kleencut Forged Steel Scissors"/>
    <n v="7.4619999999999997"/>
    <x v="0"/>
  </r>
  <r>
    <s v="Acme Office Executive Series Stainless Steel Trimmers"/>
    <n v="26.2242"/>
    <x v="0"/>
  </r>
  <r>
    <s v="Acme Preferred Stainless Steel Scissors"/>
    <n v="26.3552"/>
    <x v="0"/>
  </r>
  <r>
    <s v="Acme Rosewood Handle Letter Opener"/>
    <n v="-3.4935999999999998"/>
    <x v="0"/>
  </r>
  <r>
    <s v="Acme Serrated Blade Letter Opener"/>
    <n v="-1.7490000000000001"/>
    <x v="0"/>
  </r>
  <r>
    <s v="Acme Softgrip Scissors"/>
    <n v="33.129800000000003"/>
    <x v="0"/>
  </r>
  <r>
    <s v="Acme Stainless Steel Office Snips"/>
    <n v="12.431699999999999"/>
    <x v="0"/>
  </r>
  <r>
    <s v="Acme Tagit Stainless Steel Antibacterial Scissors"/>
    <n v="37.026000000000003"/>
    <x v="0"/>
  </r>
  <r>
    <s v="Acme Titanium Bonded Scissors"/>
    <n v="20.23"/>
    <x v="0"/>
  </r>
  <r>
    <s v="Acme Value Line Scissors"/>
    <n v="20.440000000000001"/>
    <x v="0"/>
  </r>
  <r>
    <s v="Acrylic Self-Standing Desk Frames"/>
    <n v="32.734200000000001"/>
    <x v="0"/>
  </r>
  <r>
    <s v="Adams &quot;While You Were Out&quot; Message Pads"/>
    <n v="31.4"/>
    <x v="0"/>
  </r>
  <r>
    <s v="Adams Phone Message Book, 200 Message Capacity, 8 1/16” x 11”"/>
    <n v="104.4384"/>
    <x v="1"/>
  </r>
  <r>
    <s v="Adams Phone Message Book, Professional, 400 Message Capacity, 5 3/6” x 11”"/>
    <n v="43.136400000000002"/>
    <x v="0"/>
  </r>
  <r>
    <s v="Adams Telephone Message Book W/Dividers/Space For Phone Numbers, 5 1/4&quot;X8 1/2&quot;, 200/Messages"/>
    <n v="72.703999999999994"/>
    <x v="0"/>
  </r>
  <r>
    <s v="Adams Telephone Message Book W/Dividers/Space For Phone Numbers, 5 1/4&quot;X8 1/2&quot;, 300/Messages"/>
    <n v="60.916800000000002"/>
    <x v="0"/>
  </r>
  <r>
    <s v="Adams Telephone Message Book w/Frequently-Called Numbers Space, 400 Messages per Book"/>
    <n v="111.72"/>
    <x v="1"/>
  </r>
  <r>
    <s v="Adams Telephone Message Books, 5 1/4” x 11”"/>
    <n v="32.917999999999999"/>
    <x v="0"/>
  </r>
  <r>
    <s v="Adams Write n' Stick Phone Message Book, 11&quot; X 5 1/4&quot;, 200 Messages"/>
    <n v="16.3584"/>
    <x v="0"/>
  </r>
  <r>
    <s v="Adjustable Depth Letter/Legal Cart"/>
    <n v="1932.549"/>
    <x v="2"/>
  </r>
  <r>
    <s v="Adjustable Personal File Tote"/>
    <n v="53.398400000000002"/>
    <x v="0"/>
  </r>
  <r>
    <s v="Adtran 1202752G1"/>
    <n v="312.45519999999999"/>
    <x v="1"/>
  </r>
  <r>
    <s v="Advantus 10-Drawer Portable Organizer, Chrome Metal Frame, Smoke Drawers"/>
    <n v="277.28640000000001"/>
    <x v="1"/>
  </r>
  <r>
    <s v="Advantus Employee of the Month Certificate Frame, 11 x 13-1/2"/>
    <n v="311.77440000000001"/>
    <x v="1"/>
  </r>
  <r>
    <s v="Advantus Map Pennant Flags and Round Head Tacks"/>
    <n v="20.54"/>
    <x v="0"/>
  </r>
  <r>
    <s v="Advantus Motivational Note Cards"/>
    <n v="94.320000000000007"/>
    <x v="0"/>
  </r>
  <r>
    <s v="Advantus Panel Wall Acrylic Frame"/>
    <n v="25.161999999999999"/>
    <x v="0"/>
  </r>
  <r>
    <s v="Advantus Panel Wall Certificate Holder - 8.5x11"/>
    <n v="108.092"/>
    <x v="1"/>
  </r>
  <r>
    <s v="Advantus Plastic Paper Clips"/>
    <n v="102.8"/>
    <x v="1"/>
  </r>
  <r>
    <s v="Advantus Push Pins"/>
    <n v="20.208600000000001"/>
    <x v="0"/>
  </r>
  <r>
    <s v="Advantus Push Pins, Aluminum Head"/>
    <n v="43.226399999999998"/>
    <x v="0"/>
  </r>
  <r>
    <s v="Advantus Rolling Drawer Organizers"/>
    <n v="233.18879999999999"/>
    <x v="1"/>
  </r>
  <r>
    <s v="Advantus Rolling Storage Box"/>
    <n v="90.723499999999973"/>
    <x v="0"/>
  </r>
  <r>
    <s v="Advantus SlideClip Paper Clips"/>
    <n v="19.777999999999999"/>
    <x v="0"/>
  </r>
  <r>
    <s v="Advantus T-Pin Paper Clips"/>
    <n v="20.0244"/>
    <x v="0"/>
  </r>
  <r>
    <s v="Airmail Envelopes"/>
    <n v="514.49090000000001"/>
    <x v="2"/>
  </r>
  <r>
    <s v="Akro Stacking Bins"/>
    <n v="-6.9432"/>
    <x v="0"/>
  </r>
  <r>
    <s v="Akro-Mils 12-Gallon Tote"/>
    <n v="21.548100000000002"/>
    <x v="0"/>
  </r>
  <r>
    <s v="Alliance Big Bands Rubber Bands, 12/Pack"/>
    <n v="0"/>
    <x v="0"/>
  </r>
  <r>
    <s v="Alliance Rubber Bands"/>
    <n v="0.53760000000000008"/>
    <x v="0"/>
  </r>
  <r>
    <s v="Alliance Super-Size Bands, Assorted Sizes"/>
    <n v="-10.3474"/>
    <x v="0"/>
  </r>
  <r>
    <s v="Alphabetical Labels for Top Tab Filing"/>
    <n v="244.2"/>
    <x v="1"/>
  </r>
  <r>
    <s v="Aluminum Document Frame"/>
    <n v="56.212000000000003"/>
    <x v="0"/>
  </r>
  <r>
    <s v="Aluminum Screw Posts"/>
    <n v="41.201999999999991"/>
    <x v="0"/>
  </r>
  <r>
    <s v="AmazonBasics 3-Button USB Wired Mouse"/>
    <n v="32.293799999999997"/>
    <x v="0"/>
  </r>
  <r>
    <s v="American Pencil"/>
    <n v="14.1897"/>
    <x v="0"/>
  </r>
  <r>
    <s v="Ames Color-File Green Diamond Border X-ray Mailers"/>
    <n v="559.30680000000007"/>
    <x v="2"/>
  </r>
  <r>
    <s v="Ampad #10 Peel &amp; Seel Holiday Envelopes"/>
    <n v="25.8048"/>
    <x v="0"/>
  </r>
  <r>
    <s v="Ampad Evidence Wirebond Steno Books, 6&quot; x 9&quot;"/>
    <n v="11.292400000000001"/>
    <x v="0"/>
  </r>
  <r>
    <s v="Ampad Gold Fibre Wirebound Steno Books, 6&quot; x 9&quot;, Gregg Ruled"/>
    <n v="47.186999999999998"/>
    <x v="0"/>
  </r>
  <r>
    <s v="Ampad Phone Message Book, Recycled, 400 Message Capacity, 5 ¾” x 11”"/>
    <n v="56.16"/>
    <x v="0"/>
  </r>
  <r>
    <s v="Ampad Poly Cover Wirebound Steno Book, 6&quot; x 9&quot; Assorted Colors, Gregg Ruled"/>
    <n v="15.663"/>
    <x v="0"/>
  </r>
  <r>
    <s v="Anderson Hickey Conga Table Tops &amp; Accessories"/>
    <n v="-17.514500000000002"/>
    <x v="0"/>
  </r>
  <r>
    <s v="Angle-D Binders with Locking Rings, Label Holders"/>
    <n v="35.332000000000001"/>
    <x v="0"/>
  </r>
  <r>
    <s v="Angle-D Ring Binders"/>
    <n v="-1.969199999999999"/>
    <x v="0"/>
  </r>
  <r>
    <s v="Anker 24W Portable Micro USB Car Charger"/>
    <n v="14.0672"/>
    <x v="0"/>
  </r>
  <r>
    <s v="Anker 36W 4-Port USB Wall Charger Travel Power Adapter for iPhone 5s 5c 5"/>
    <n v="23.188400000000001"/>
    <x v="0"/>
  </r>
  <r>
    <s v="Anker Astro 15000mAh USB Portable Charger"/>
    <n v="-23.995200000000001"/>
    <x v="0"/>
  </r>
  <r>
    <s v="Anker Astro Mini 3000mAh Ultra-Compact Portable Charger"/>
    <n v="-31.984000000000002"/>
    <x v="0"/>
  </r>
  <r>
    <s v="Anker Ultra-Slim Mini Bluetooth 3.0 Wireless Keyboard"/>
    <n v="99.55019999999999"/>
    <x v="0"/>
  </r>
  <r>
    <s v="Anker Ultrathin Bluetooth Wireless Keyboard Aluminum Cover with Stand "/>
    <n v="32.988999999999997"/>
    <x v="0"/>
  </r>
  <r>
    <s v="Apple EarPods with Remote and Mic"/>
    <n v="50.381999999999998"/>
    <x v="0"/>
  </r>
  <r>
    <s v="Apple iPhone 5"/>
    <n v="1611.5784000000001"/>
    <x v="2"/>
  </r>
  <r>
    <s v="Apple iPhone 5C"/>
    <n v="229.977"/>
    <x v="1"/>
  </r>
  <r>
    <s v="Apple iPhone 5S"/>
    <n v="512.99099999999999"/>
    <x v="2"/>
  </r>
  <r>
    <s v="Array Memo Cubes"/>
    <n v="25.848199999999999"/>
    <x v="0"/>
  </r>
  <r>
    <s v="Array Parchment Paper, Assorted Colors"/>
    <n v="49.503999999999998"/>
    <x v="0"/>
  </r>
  <r>
    <s v="Artistic Insta-Plaque"/>
    <n v="61.152000000000001"/>
    <x v="0"/>
  </r>
  <r>
    <s v="Assorted Color Push Pins"/>
    <n v="8.9232999999999993"/>
    <x v="0"/>
  </r>
  <r>
    <s v="Astroparche Fine Business Paper"/>
    <n v="65.049599999999998"/>
    <x v="0"/>
  </r>
  <r>
    <s v="Ativa D5772 2-Line 5.8GHz Digital Expandable Corded/Cordless Phone System with Answering &amp; Caller ID/Call Waiting, Black/Silver"/>
    <n v="593.96400000000006"/>
    <x v="2"/>
  </r>
  <r>
    <s v="Ativa MDM8000 8-Sheet Micro-Cut Shredder"/>
    <n v="393.25630000000001"/>
    <x v="1"/>
  </r>
  <r>
    <s v="Ativa V4110MDD Micro-Cut Shredder"/>
    <n v="3772.9461000000001"/>
    <x v="2"/>
  </r>
  <r>
    <s v="Atlantic Metals Mobile 2-Shelf Bookcases, Custom Colors"/>
    <n v="-113.2606"/>
    <x v="0"/>
  </r>
  <r>
    <s v="Atlantic Metals Mobile 3-Shelf Bookcases, Custom Colors"/>
    <n v="780.3302000000001"/>
    <x v="2"/>
  </r>
  <r>
    <s v="Atlantic Metals Mobile 4-Shelf Bookcases, Custom Colors"/>
    <n v="-126.441"/>
    <x v="0"/>
  </r>
  <r>
    <s v="Atlantic Metals Mobile 5-Shelf Bookcases, Custom Colors"/>
    <n v="15.04900000000001"/>
    <x v="0"/>
  </r>
  <r>
    <s v="Avanti 1.7 Cu. Ft. Refrigerator"/>
    <n v="476.62560000000008"/>
    <x v="1"/>
  </r>
  <r>
    <s v="Avanti 4.4 Cu. Ft. Refrigerator"/>
    <n v="383.67759999999998"/>
    <x v="1"/>
  </r>
  <r>
    <s v="Avaya 4621SW VoIP phone"/>
    <n v="79.866"/>
    <x v="0"/>
  </r>
  <r>
    <s v="Avaya 5410 Digital phone"/>
    <n v="-10.878399999999999"/>
    <x v="0"/>
  </r>
  <r>
    <s v="Avaya 5420 Digital phone"/>
    <n v="323.976"/>
    <x v="1"/>
  </r>
  <r>
    <s v="Avaya IP Phone 1140E VoIP phone"/>
    <n v="362.68700000000001"/>
    <x v="1"/>
  </r>
  <r>
    <s v="Avery 05222 Permanent Self-Adhesive File Folder Labels for Typewriters, on Rolls, White, 250/Roll"/>
    <n v="9.4989999999999988"/>
    <x v="0"/>
  </r>
  <r>
    <s v="Avery 3 1/2&quot; Diskette Storage Pages, 10/Pack"/>
    <n v="-14.4072"/>
    <x v="0"/>
  </r>
  <r>
    <s v="Avery 4027 File Folder Labels for Dot Matrix Printers, 5000 Labels per Box, White"/>
    <n v="524.50540000000012"/>
    <x v="2"/>
  </r>
  <r>
    <s v="Avery 473"/>
    <n v="119.232"/>
    <x v="1"/>
  </r>
  <r>
    <s v="Avery 474"/>
    <n v="34.272000000000013"/>
    <x v="0"/>
  </r>
  <r>
    <s v="Avery 475"/>
    <n v="133.19999999999999"/>
    <x v="1"/>
  </r>
  <r>
    <s v="Avery 476"/>
    <n v="54.598599999999998"/>
    <x v="0"/>
  </r>
  <r>
    <s v="Avery 477"/>
    <n v="244.24"/>
    <x v="1"/>
  </r>
  <r>
    <s v="Avery 478"/>
    <n v="43.306199999999997"/>
    <x v="0"/>
  </r>
  <r>
    <s v="Avery 479"/>
    <n v="6.8381999999999996"/>
    <x v="0"/>
  </r>
  <r>
    <s v="Avery 48"/>
    <n v="39.69"/>
    <x v="0"/>
  </r>
  <r>
    <s v="Avery 480"/>
    <n v="42.45"/>
    <x v="0"/>
  </r>
  <r>
    <s v="Avery 481"/>
    <n v="43.12"/>
    <x v="0"/>
  </r>
  <r>
    <s v="Avery 482"/>
    <n v="5.4332000000000003"/>
    <x v="0"/>
  </r>
  <r>
    <s v="Avery 483"/>
    <n v="32.569200000000002"/>
    <x v="0"/>
  </r>
  <r>
    <s v="Avery 484"/>
    <n v="3.3408000000000002"/>
    <x v="0"/>
  </r>
  <r>
    <s v="Avery 485"/>
    <n v="300.34410000000003"/>
    <x v="1"/>
  </r>
  <r>
    <s v="Avery 486"/>
    <n v="75.146799999999999"/>
    <x v="0"/>
  </r>
  <r>
    <s v="Avery 487"/>
    <n v="35.977499999999999"/>
    <x v="0"/>
  </r>
  <r>
    <s v="Avery 488"/>
    <n v="23.184000000000001"/>
    <x v="0"/>
  </r>
  <r>
    <s v="Avery 489"/>
    <n v="73.277999999999992"/>
    <x v="0"/>
  </r>
  <r>
    <s v="Avery 49"/>
    <n v="31.564800000000002"/>
    <x v="0"/>
  </r>
  <r>
    <s v="Avery 490"/>
    <n v="81.400000000000006"/>
    <x v="0"/>
  </r>
  <r>
    <s v="Avery 491"/>
    <n v="18.6676"/>
    <x v="0"/>
  </r>
  <r>
    <s v="Avery 492"/>
    <n v="22.463999999999999"/>
    <x v="0"/>
  </r>
  <r>
    <s v="Avery 493"/>
    <n v="23.4207"/>
    <x v="0"/>
  </r>
  <r>
    <s v="Avery 494"/>
    <n v="23.959800000000001"/>
    <x v="0"/>
  </r>
  <r>
    <s v="Avery 495"/>
    <n v="42.588000000000001"/>
    <x v="0"/>
  </r>
  <r>
    <s v="Avery 496"/>
    <n v="22.95"/>
    <x v="0"/>
  </r>
  <r>
    <s v="Avery 497"/>
    <n v="11.2112"/>
    <x v="0"/>
  </r>
  <r>
    <s v="Avery 498"/>
    <n v="15.3459"/>
    <x v="0"/>
  </r>
  <r>
    <s v="Avery 499"/>
    <n v="68.724000000000004"/>
    <x v="0"/>
  </r>
  <r>
    <s v="Avery 5"/>
    <n v="2.8224"/>
    <x v="0"/>
  </r>
  <r>
    <s v="Avery 50"/>
    <n v="102.746"/>
    <x v="1"/>
  </r>
  <r>
    <s v="Avery 500"/>
    <n v="27.485600000000002"/>
    <x v="0"/>
  </r>
  <r>
    <s v="Avery 501"/>
    <n v="23.394600000000001"/>
    <x v="0"/>
  </r>
  <r>
    <s v="Avery 502"/>
    <n v="6.1740000000000004"/>
    <x v="0"/>
  </r>
  <r>
    <s v="Avery 503"/>
    <n v="74.52"/>
    <x v="0"/>
  </r>
  <r>
    <s v="Avery 505"/>
    <n v="165.76"/>
    <x v="1"/>
  </r>
  <r>
    <s v="Avery 506"/>
    <n v="28.166599999999999"/>
    <x v="0"/>
  </r>
  <r>
    <s v="Avery 507"/>
    <n v="8.64"/>
    <x v="0"/>
  </r>
  <r>
    <s v="Avery 508"/>
    <n v="39.820099999999996"/>
    <x v="0"/>
  </r>
  <r>
    <s v="Avery 509"/>
    <n v="14.0418"/>
    <x v="0"/>
  </r>
  <r>
    <s v="Avery 51"/>
    <n v="41.328000000000003"/>
    <x v="0"/>
  </r>
  <r>
    <s v="Avery 510"/>
    <n v="8.1000000000000014"/>
    <x v="0"/>
  </r>
  <r>
    <s v="Avery 511"/>
    <n v="24.64"/>
    <x v="0"/>
  </r>
  <r>
    <s v="Avery 512"/>
    <n v="35.373600000000003"/>
    <x v="0"/>
  </r>
  <r>
    <s v="Avery 513"/>
    <n v="34.461599999999997"/>
    <x v="0"/>
  </r>
  <r>
    <s v="Avery 514"/>
    <n v="22.8384"/>
    <x v="0"/>
  </r>
  <r>
    <s v="Avery 515"/>
    <n v="29.445499999999999"/>
    <x v="0"/>
  </r>
  <r>
    <s v="Avery 516"/>
    <n v="51.535499999999999"/>
    <x v="0"/>
  </r>
  <r>
    <s v="Avery 517"/>
    <n v="18.855899999999998"/>
    <x v="0"/>
  </r>
  <r>
    <s v="Avery 518"/>
    <n v="49.14"/>
    <x v="0"/>
  </r>
  <r>
    <s v="Avery 519"/>
    <n v="51.608600000000003"/>
    <x v="0"/>
  </r>
  <r>
    <s v="Avery 52"/>
    <n v="31.4757"/>
    <x v="0"/>
  </r>
  <r>
    <s v="Avery 520"/>
    <n v="22.05"/>
    <x v="0"/>
  </r>
  <r>
    <s v="Avery Address/Shipping Labels for Typewriters, 4&quot; x 2&quot;"/>
    <n v="126.684"/>
    <x v="1"/>
  </r>
  <r>
    <s v="Avery Arch Ring Binders"/>
    <n v="87.150000000000063"/>
    <x v="0"/>
  </r>
  <r>
    <s v="Avery Binder Labels"/>
    <n v="9.8806000000000012"/>
    <x v="0"/>
  </r>
  <r>
    <s v="Avery Binding System Hidden Tab Executive Style Index Sets"/>
    <n v="16.733000000000001"/>
    <x v="0"/>
  </r>
  <r>
    <s v="Avery Durable Binders"/>
    <n v="13.824"/>
    <x v="0"/>
  </r>
  <r>
    <s v="Avery Durable Plastic 1&quot; Binders"/>
    <n v="37.500400000000013"/>
    <x v="0"/>
  </r>
  <r>
    <s v="Avery Durable Poly Binders"/>
    <n v="-15.5946"/>
    <x v="0"/>
  </r>
  <r>
    <s v="Avery Durable Slant Ring Binders"/>
    <n v="-23.76"/>
    <x v="0"/>
  </r>
  <r>
    <s v="Avery Durable Slant Ring Binders With Label Holder"/>
    <n v="12.4564"/>
    <x v="0"/>
  </r>
  <r>
    <s v="Avery Durable Slant Ring Binders, No Labels"/>
    <n v="13.611599999999999"/>
    <x v="0"/>
  </r>
  <r>
    <s v="Avery File Folder Labels"/>
    <n v="48.844800000000014"/>
    <x v="0"/>
  </r>
  <r>
    <s v="Avery Flip-Chart Easel Binder, Black"/>
    <n v="37.822200000000002"/>
    <x v="0"/>
  </r>
  <r>
    <s v="Avery Fluorescent Highlighter Four-Color Set"/>
    <n v="9.3519999999999985"/>
    <x v="0"/>
  </r>
  <r>
    <s v="Avery Framed View Binder, EZD Ring (Locking), Navy, 1 1/2&quot;"/>
    <n v="-0.698599999999999"/>
    <x v="0"/>
  </r>
  <r>
    <s v="Avery Hanging File Binders"/>
    <n v="21.886800000000001"/>
    <x v="0"/>
  </r>
  <r>
    <s v="Avery Heavy-Duty EZD  Binder With Locking Rings"/>
    <n v="29.2392"/>
    <x v="0"/>
  </r>
  <r>
    <s v="Avery Heavy-Duty EZD View Binder with Locking Rings"/>
    <n v="29.730799999999991"/>
    <x v="0"/>
  </r>
  <r>
    <s v="Avery Hi-Liter Comfort Grip Fluorescent Highlighter, Yellow Ink"/>
    <n v="3.0419999999999998"/>
    <x v="0"/>
  </r>
  <r>
    <s v="Avery Hi-Liter EverBold Pen Style Fluorescent Highlighters, 4/Pack"/>
    <n v="68.376000000000005"/>
    <x v="0"/>
  </r>
  <r>
    <s v="Avery Hi-Liter Fluorescent Desk Style Markers"/>
    <n v="7.5035999999999996"/>
    <x v="0"/>
  </r>
  <r>
    <s v="Avery Hi-Liter GlideStik Fluorescent Highlighter, Yellow Ink"/>
    <n v="9.6495999999999995"/>
    <x v="0"/>
  </r>
  <r>
    <s v="Avery Hi-Liter Pen Style Six-Color Fluorescent Set"/>
    <n v="3.157"/>
    <x v="0"/>
  </r>
  <r>
    <s v="Avery Hi-Liter Smear-Safe Highlighters"/>
    <n v="34.105600000000003"/>
    <x v="0"/>
  </r>
  <r>
    <s v="Avery Hidden Tab Dividers for Binding Systems"/>
    <n v="-7.0328000000000008"/>
    <x v="0"/>
  </r>
  <r>
    <s v="Avery Hole Reinforcements"/>
    <n v="14.827400000000001"/>
    <x v="0"/>
  </r>
  <r>
    <s v="Avery Legal 4-Ring Binder"/>
    <n v="90.214000000000013"/>
    <x v="0"/>
  </r>
  <r>
    <s v="Avery Metallic Poly Binders"/>
    <n v="43.433399999999999"/>
    <x v="0"/>
  </r>
  <r>
    <s v="Avery Non-Stick Binders"/>
    <n v="43.552999999999997"/>
    <x v="0"/>
  </r>
  <r>
    <s v="Avery Non-Stick Heavy Duty View Round Locking Ring Binders"/>
    <n v="30.8568"/>
    <x v="0"/>
  </r>
  <r>
    <s v="Avery Personal Creations Heavyweight Cards"/>
    <n v="37.851199999999999"/>
    <x v="0"/>
  </r>
  <r>
    <s v="Avery Poly Binder Pockets"/>
    <n v="14.749599999999999"/>
    <x v="0"/>
  </r>
  <r>
    <s v="Avery Premier Heavy-Duty Binder with Round Locking Rings"/>
    <n v="29.416799999999999"/>
    <x v="0"/>
  </r>
  <r>
    <s v="Avery Printable Repositionable Plastic Tabs"/>
    <n v="42.311999999999998"/>
    <x v="0"/>
  </r>
  <r>
    <s v="Avery Recycled Flexi-View Covers for Binding Systems"/>
    <n v="-69.5702"/>
    <x v="0"/>
  </r>
  <r>
    <s v="Avery Reinforcements for Hole-Punch Pages"/>
    <n v="-16.137"/>
    <x v="0"/>
  </r>
  <r>
    <s v="Avery Round Ring Poly Binders"/>
    <n v="12.2972"/>
    <x v="0"/>
  </r>
  <r>
    <s v="Avery Self-Adhesive Photo Pockets for Polaroid Photos"/>
    <n v="-2.179200000000002"/>
    <x v="0"/>
  </r>
  <r>
    <s v="Avery Trapezoid Extra Heavy Duty 4&quot; Binders"/>
    <n v="0"/>
    <x v="0"/>
  </r>
  <r>
    <s v="Avery Trapezoid Ring Binder, 3&quot; Capacity, Black, 1040 sheets"/>
    <n v="85.238399999999999"/>
    <x v="0"/>
  </r>
  <r>
    <s v="Avery Triangle Shaped Sheet Lifters, Black, 2/Pack"/>
    <n v="-4.92"/>
    <x v="0"/>
  </r>
  <r>
    <s v="Avery White Multi-Purpose Labels"/>
    <n v="41.832000000000001"/>
    <x v="0"/>
  </r>
  <r>
    <s v="Avoid Verbal Orders Carbonless Minifold Book"/>
    <n v="29.9468"/>
    <x v="0"/>
  </r>
  <r>
    <s v="BIC Brite Liner Grip Highlighters"/>
    <n v="8.9379999999999988"/>
    <x v="0"/>
  </r>
  <r>
    <s v="BIC Brite Liner Grip Highlighters, Assorted, 5/Pack"/>
    <n v="43.714399999999998"/>
    <x v="0"/>
  </r>
  <r>
    <s v="BIC Brite Liner Highlighters"/>
    <n v="30.884399999999999"/>
    <x v="0"/>
  </r>
  <r>
    <s v="BIC Brite Liner Highlighters, Chisel Tip"/>
    <n v="30.585599999999999"/>
    <x v="0"/>
  </r>
  <r>
    <s v="BIC Liqua Brite Liner"/>
    <n v="53.576800000000013"/>
    <x v="0"/>
  </r>
  <r>
    <s v="BOSTON Model 1800 Electric Pencil Sharpeners, Putty/Woodgrain"/>
    <n v="113.274"/>
    <x v="1"/>
  </r>
  <r>
    <s v="BOSTON Ranger #55 Pencil Sharpener, Black"/>
    <n v="120.33369999999999"/>
    <x v="1"/>
  </r>
  <r>
    <s v="BPI Conference Tables"/>
    <n v="-795.97250000000008"/>
    <x v="0"/>
  </r>
  <r>
    <s v="Bady BDG101FRU Card Printer"/>
    <n v="1327.9834000000001"/>
    <x v="2"/>
  </r>
  <r>
    <s v="Bagged Rubber Bands"/>
    <n v="0.3024"/>
    <x v="0"/>
  </r>
  <r>
    <s v="Balt Solid Wood Rectangular Table"/>
    <n v="-216.25450000000001"/>
    <x v="0"/>
  </r>
  <r>
    <s v="Balt Solid Wood Round Tables"/>
    <n v="-1201.0581"/>
    <x v="0"/>
  </r>
  <r>
    <s v="Balt Split Level Computer Training Table"/>
    <n v="-357.97500000000002"/>
    <x v="0"/>
  </r>
  <r>
    <s v="Barrel Sharpener"/>
    <n v="17.6358"/>
    <x v="0"/>
  </r>
  <r>
    <s v="Barricks 18&quot; x 48&quot; Non-Folding Utility Table with Bottom Storage Shelf"/>
    <n v="-104.83199999999999"/>
    <x v="0"/>
  </r>
  <r>
    <s v="Barricks Non-Folding Utility Table with Steel Legs, Laminate Tops"/>
    <n v="15.3522"/>
    <x v="0"/>
  </r>
  <r>
    <s v="Belkin 19&quot; Center-Weighted Shelf, Gray"/>
    <n v="-47.183999999999997"/>
    <x v="0"/>
  </r>
  <r>
    <s v="Belkin 19&quot; Vented Equipment Shelf, Black"/>
    <n v="-179.6652"/>
    <x v="0"/>
  </r>
  <r>
    <s v="Belkin 325VA UPS Surge Protector, 6'"/>
    <n v="199.61699999999999"/>
    <x v="1"/>
  </r>
  <r>
    <s v="Belkin 5 Outlet SurgeMaster Power Centers"/>
    <n v="207.02399999999989"/>
    <x v="1"/>
  </r>
  <r>
    <s v="Belkin 6 Outlet Metallic Surge Strip"/>
    <n v="28.749600000000001"/>
    <x v="0"/>
  </r>
  <r>
    <s v="Belkin 7 Outlet SurgeMaster II"/>
    <n v="176.87039999999999"/>
    <x v="1"/>
  </r>
  <r>
    <s v="Belkin 7 Outlet SurgeMaster Surge Protector with Phone Protection"/>
    <n v="17.765999999999998"/>
    <x v="0"/>
  </r>
  <r>
    <s v="Belkin 7-Outlet SurgeMaster Home Series"/>
    <n v="2.794"/>
    <x v="0"/>
  </r>
  <r>
    <s v="Belkin 8 Outlet Surge Protector"/>
    <n v="188.50800000000001"/>
    <x v="1"/>
  </r>
  <r>
    <s v="Belkin 8 Outlet SurgeMaster II Gold Surge Protector"/>
    <n v="89.97"/>
    <x v="0"/>
  </r>
  <r>
    <s v="Belkin 8 Outlet SurgeMaster II Gold Surge Protector with Phone Protection"/>
    <n v="168.4384"/>
    <x v="1"/>
  </r>
  <r>
    <s v="Belkin 8-Outlet Premiere SurgeMaster II Surge Protectors"/>
    <n v="83.376000000000005"/>
    <x v="0"/>
  </r>
  <r>
    <s v="Belkin F5C206VTEL 6 Outlet Surge"/>
    <n v="110.304"/>
    <x v="1"/>
  </r>
  <r>
    <s v="Belkin F8E887 USB Wired Ergonomic Keyboard"/>
    <n v="66.277899999999988"/>
    <x v="0"/>
  </r>
  <r>
    <s v="Belkin F9G930V10-GRY 9 Outlet Surge"/>
    <n v="162.57919999999999"/>
    <x v="1"/>
  </r>
  <r>
    <s v="Belkin F9H710-06 7 Outlet SurgeMaster Surge Protector"/>
    <n v="122.8368"/>
    <x v="1"/>
  </r>
  <r>
    <s v="Belkin F9M820V08 8 Outlet Surge"/>
    <n v="101.003"/>
    <x v="1"/>
  </r>
  <r>
    <s v="Belkin F9S820V06 8 Outlet Surge"/>
    <n v="-120.176"/>
    <x v="0"/>
  </r>
  <r>
    <s v="Belkin Grip Candy Sheer Case / Cover for iPhone 5 and 5S"/>
    <n v="12.994400000000001"/>
    <x v="0"/>
  </r>
  <r>
    <s v="Belkin OmniView SE Rackmount Kit"/>
    <n v="0"/>
    <x v="0"/>
  </r>
  <r>
    <s v="Belkin Premiere Surge Master II 8-outlet surge protector"/>
    <n v="55.381199999999993"/>
    <x v="0"/>
  </r>
  <r>
    <s v="Belkin QODE FastFit Bluetooth Keyboard"/>
    <n v="16.106999999999999"/>
    <x v="0"/>
  </r>
  <r>
    <s v="Belkin SportFit Armband For iPhone 5s/5c, Fuchsia"/>
    <n v="79.2971"/>
    <x v="0"/>
  </r>
  <r>
    <s v="Belkin Standard 104 key USB Keyboard"/>
    <n v="5.1064999999999987"/>
    <x v="0"/>
  </r>
  <r>
    <s v="Belkin iPhone and iPad Lightning Cable"/>
    <n v="6.2957999999999998"/>
    <x v="0"/>
  </r>
  <r>
    <s v="Berol Giant Pencil Sharpener"/>
    <n v="49.780700000000003"/>
    <x v="0"/>
  </r>
  <r>
    <s v="Bestar Classic Bookcase"/>
    <n v="-612.93869999999993"/>
    <x v="0"/>
  </r>
  <r>
    <s v="Bevis 36 x 72 Conference Tables"/>
    <n v="448.16399999999999"/>
    <x v="1"/>
  </r>
  <r>
    <s v="Bevis 44 x 96 Conference Tables"/>
    <n v="-164.72"/>
    <x v="0"/>
  </r>
  <r>
    <s v="Bevis Boat-Shaped Conference Table"/>
    <n v="-445.58699999999999"/>
    <x v="0"/>
  </r>
  <r>
    <s v="Bevis Oval Conference Table, Walnut"/>
    <n v="-856.01440000000002"/>
    <x v="0"/>
  </r>
  <r>
    <s v="Bevis Rectangular Conference Tables"/>
    <n v="-586.83960000000002"/>
    <x v="0"/>
  </r>
  <r>
    <s v="Bevis Round Bullnose 29&quot; High Table Top"/>
    <n v="-192.18539999999999"/>
    <x v="0"/>
  </r>
  <r>
    <s v="Bevis Round Conference Room Tables and Bases"/>
    <n v="-39.443800000000003"/>
    <x v="0"/>
  </r>
  <r>
    <s v="Bevis Round Conference Table Top &amp; Single Column Base"/>
    <n v="100.9746"/>
    <x v="1"/>
  </r>
  <r>
    <s v="Bevis Round Conference Table Top, X-Base"/>
    <n v="-519.94100000000003"/>
    <x v="0"/>
  </r>
  <r>
    <s v="Bevis Steel Folding Chairs"/>
    <n v="117.059"/>
    <x v="1"/>
  </r>
  <r>
    <s v="Bevis Traditional Conference Table Top, Plinth Base"/>
    <n v="-456.70319999999998"/>
    <x v="0"/>
  </r>
  <r>
    <s v="Binder Clips by OIC"/>
    <n v="15.332800000000001"/>
    <x v="0"/>
  </r>
  <r>
    <s v="Binder Posts"/>
    <n v="7.8064"/>
    <x v="0"/>
  </r>
  <r>
    <s v="Binding Machine Supplies"/>
    <n v="182.60419999999999"/>
    <x v="1"/>
  </r>
  <r>
    <s v="Binney &amp; Smith Crayola Metallic Colored Pencils, 8-Color Set"/>
    <n v="26.853999999999999"/>
    <x v="0"/>
  </r>
  <r>
    <s v="Binney &amp; Smith Crayola Metallic Crayons, 16-Color Pack"/>
    <n v="6.7399999999999993"/>
    <x v="0"/>
  </r>
  <r>
    <s v="Binney &amp; Smith inkTank Desk Highlighter, Chisel Tip, Yellow, 12/Box"/>
    <n v="13.459"/>
    <x v="0"/>
  </r>
  <r>
    <s v="Binney &amp; Smith inkTank Erasable Desk Highlighter, Chisel Tip, Yellow, 12/Box"/>
    <n v="5.7455999999999996"/>
    <x v="0"/>
  </r>
  <r>
    <s v="Binney &amp; Smith inkTank Erasable Pocket Highlighter, Chisel Tip, Yellow"/>
    <n v="10.670400000000001"/>
    <x v="0"/>
  </r>
  <r>
    <s v="Bionaire 99.97% HEPA Air Cleaner"/>
    <n v="17.52"/>
    <x v="0"/>
  </r>
  <r>
    <s v="Bionaire Personal Warm Mist Humidifier/Vaporizer"/>
    <n v="201.15809999999999"/>
    <x v="1"/>
  </r>
  <r>
    <s v="Black &amp; Decker Filter for Double Action Dustbuster Cordless Vac BLDV7210"/>
    <n v="53.696000000000012"/>
    <x v="0"/>
  </r>
  <r>
    <s v="Black Avery Memo-Size 3-Ring Binder, 5 1/2&quot; x 8 1/2&quot;"/>
    <n v="15.5608"/>
    <x v="0"/>
  </r>
  <r>
    <s v="Black Print Carbonless 8 1/2&quot; x 8 1/4&quot; Rapid Memo Book"/>
    <n v="20.820799999999998"/>
    <x v="0"/>
  </r>
  <r>
    <s v="Black Print Carbonless Snap-Off Rapid Letter, 8 1/2&quot; x 7&quot;"/>
    <n v="65.136499999999998"/>
    <x v="0"/>
  </r>
  <r>
    <s v="BlackBerry Q10"/>
    <n v="548.05650000000003"/>
    <x v="2"/>
  </r>
  <r>
    <s v="Blackstonian Pencils"/>
    <n v="12.602399999999999"/>
    <x v="0"/>
  </r>
  <r>
    <s v="Blue Parrot B250XT Professional Grade Wireless Bluetooth Headset with"/>
    <n v="127.483"/>
    <x v="1"/>
  </r>
  <r>
    <s v="Blue String-Tie &amp; Button Interoffice Envelopes, 10 x 13"/>
    <n v="299.85000000000002"/>
    <x v="1"/>
  </r>
  <r>
    <s v="BlueLounge Milo Smartphone Stand, White/Metallic"/>
    <n v="76.7744"/>
    <x v="0"/>
  </r>
  <r>
    <s v="Bose SoundLink Bluetooth Speaker"/>
    <n v="967.1400000000001"/>
    <x v="2"/>
  </r>
  <r>
    <s v="Boston 1645 Deluxe Heavier-Duty Electric Pencil Sharpener"/>
    <n v="206.2662"/>
    <x v="1"/>
  </r>
  <r>
    <s v="Boston 16701 Slimline Battery Pencil Sharpener"/>
    <n v="19.128"/>
    <x v="0"/>
  </r>
  <r>
    <s v="Boston 16750 Black Compact Battery Pencil Sharpener"/>
    <n v="13.125"/>
    <x v="0"/>
  </r>
  <r>
    <s v="Boston 16765 Mini Stand Up Battery Pencil Sharpener"/>
    <n v="16.324000000000002"/>
    <x v="0"/>
  </r>
  <r>
    <s v="Boston 16801 Nautilus Battery Pencil Sharpener"/>
    <n v="69.991799999999998"/>
    <x v="0"/>
  </r>
  <r>
    <s v="Boston 1730 StandUp Electric Pencil Sharpener"/>
    <n v="44.470399999999998"/>
    <x v="0"/>
  </r>
  <r>
    <s v="Boston 1799 Powerhouse Electric Pencil Sharpener"/>
    <n v="109.116"/>
    <x v="1"/>
  </r>
  <r>
    <s v="Boston 1827 Commercial Additional Cutter, Drive Gear &amp; Gear Rack for 1606"/>
    <n v="17.847000000000001"/>
    <x v="0"/>
  </r>
  <r>
    <s v="Boston 1900 Electric Pencil Sharpener"/>
    <n v="4.4939999999999998"/>
    <x v="0"/>
  </r>
  <r>
    <s v="Boston 19500 Mighty Mite Electric Pencil Sharpener"/>
    <n v="92.488500000000002"/>
    <x v="0"/>
  </r>
  <r>
    <s v="Boston Electric Pencil Sharpener, Model 1818, Charcoal Black"/>
    <n v="118.23"/>
    <x v="1"/>
  </r>
  <r>
    <s v="Boston Heavy-Duty Trimline Electric Pencil Sharpeners"/>
    <n v="310.89"/>
    <x v="1"/>
  </r>
  <r>
    <s v="Boston Home &amp; Office Model 2000 Electric Pencil Sharpeners"/>
    <n v="70.477000000000004"/>
    <x v="0"/>
  </r>
  <r>
    <s v="Boston KS Multi-Size Manual Pencil Sharpener"/>
    <n v="119.548"/>
    <x v="1"/>
  </r>
  <r>
    <s v="Boston Model 1800 Electric Pencil Sharpener, Gray"/>
    <n v="109.785"/>
    <x v="1"/>
  </r>
  <r>
    <s v="Boston School Pro Electric Pencil Sharpener, 1670"/>
    <n v="149.94319999999999"/>
    <x v="1"/>
  </r>
  <r>
    <s v="BoxOffice By Design Rectangular and Half-Moon Meeting Room Tables"/>
    <n v="-1148.4375"/>
    <x v="0"/>
  </r>
  <r>
    <s v="Bravo II Megaboss 12-Amp Hard Body Upright, Replacement Belts, 2 Belts per Pack"/>
    <n v="20.8325"/>
    <x v="0"/>
  </r>
  <r>
    <s v="Bretford CR4500 Series Slim Rectangular Table"/>
    <n v="-532.76130000000001"/>
    <x v="0"/>
  </r>
  <r>
    <s v="Bretford CR8500 Series Meeting Room Furniture"/>
    <n v="461.12700000000012"/>
    <x v="1"/>
  </r>
  <r>
    <s v="Bretford Rectangular Conference Table Tops"/>
    <n v="-327.23309999999998"/>
    <x v="0"/>
  </r>
  <r>
    <s v="Bretford “Just In Time” Height-Adjustable Multi-Task Work Tables"/>
    <n v="-964.19399999999996"/>
    <x v="0"/>
  </r>
  <r>
    <s v="Brites Rubber Bands, 1 1/2 oz. Box"/>
    <n v="-0.51479999999999992"/>
    <x v="0"/>
  </r>
  <r>
    <s v="Brother DCP1000 Digital 3 in 1 Multifunction Machine"/>
    <n v="1154.9614999999999"/>
    <x v="2"/>
  </r>
  <r>
    <s v="Brother MFC-9340CDW LED All-In-One Printer, Copier Scanner"/>
    <n v="-319.19159999999999"/>
    <x v="0"/>
  </r>
  <r>
    <s v="Brown Kraft Recycled Envelopes"/>
    <n v="117.16200000000001"/>
    <x v="1"/>
  </r>
  <r>
    <s v="Bulldog Table or Wall-Mount Pencil Sharpener"/>
    <n v="22.5823"/>
    <x v="0"/>
  </r>
  <r>
    <s v="Bulldog Vacuum Base Pencil Sharpener"/>
    <n v="59.590299999999999"/>
    <x v="0"/>
  </r>
  <r>
    <s v="Bush Advantage Collection Racetrack Conference Table"/>
    <n v="-1934.3976"/>
    <x v="0"/>
  </r>
  <r>
    <s v="Bush Advantage Collection Round Conference Table"/>
    <n v="210.47399999999999"/>
    <x v="1"/>
  </r>
  <r>
    <s v="Bush Andora Bookcase, Maple/Graphite Gray Finish"/>
    <n v="135.58869999999999"/>
    <x v="1"/>
  </r>
  <r>
    <s v="Bush Andora Conference Table, Maple/Graphite Gray Finish"/>
    <n v="-143.6232"/>
    <x v="0"/>
  </r>
  <r>
    <s v="Bush Birmingham Collection Bookcase, Dark Cherry"/>
    <n v="-117.88200000000001"/>
    <x v="0"/>
  </r>
  <r>
    <s v="Bush Cubix Collection Bookcases, Fully Assembled"/>
    <n v="48.615600000000001"/>
    <x v="0"/>
  </r>
  <r>
    <s v="Bush Cubix Conference Tables, Fully Assembled"/>
    <n v="311.82299999999998"/>
    <x v="1"/>
  </r>
  <r>
    <s v="Bush Heritage Pine Collection 5-Shelf Bookcase, Albany Pine Finish, *Special Order"/>
    <n v="-208.65039999999999"/>
    <x v="0"/>
  </r>
  <r>
    <s v="Bush Mission Pointe Library"/>
    <n v="24.1568"/>
    <x v="0"/>
  </r>
  <r>
    <s v="Bush Saratoga Collection 5-Shelf Bookcase, Hanover Cherry, *Special Order"/>
    <n v="-12.6882"/>
    <x v="0"/>
  </r>
  <r>
    <s v="Bush Somerset Collection Bookcase"/>
    <n v="-56.321399999999997"/>
    <x v="0"/>
  </r>
  <r>
    <s v="Bush Westfield Collection Bookcases, Dark Cherry Finish"/>
    <n v="-97.406400000000005"/>
    <x v="0"/>
  </r>
  <r>
    <s v="Bush Westfield Collection Bookcases, Dark Cherry Finish, Fully Assembled"/>
    <n v="-190.85220000000001"/>
    <x v="0"/>
  </r>
  <r>
    <s v="Bush Westfield Collection Bookcases, Fully Assembled"/>
    <n v="73.715399999999988"/>
    <x v="0"/>
  </r>
  <r>
    <s v="Bush Westfield Collection Bookcases, Medium Cherry Finish"/>
    <n v="-20.29300000000001"/>
    <x v="0"/>
  </r>
  <r>
    <s v="C-Line Cubicle Keepers Polyproplyene Holder With Velcro Backings"/>
    <n v="47.725700000000003"/>
    <x v="0"/>
  </r>
  <r>
    <s v="C-Line Cubicle Keepers Polyproplyene Holder w/Velcro Back, 8-1/2x11, 25/Bx"/>
    <n v="23.538199999999989"/>
    <x v="0"/>
  </r>
  <r>
    <s v="C-Line Magnetic Cubicle Keepers, Clear Polypropylene"/>
    <n v="56.118400000000008"/>
    <x v="0"/>
  </r>
  <r>
    <s v="C-Line Peel &amp; Stick Add-On Filing Pockets, 8-3/4 x 5-1/8, 10/Pack"/>
    <n v="15.0969"/>
    <x v="0"/>
  </r>
  <r>
    <s v="Cameo Buff Policy Envelopes"/>
    <n v="632.2568"/>
    <x v="2"/>
  </r>
  <r>
    <s v="Canon Color ImageCLASS MF8580Cdw Wireless Laser All-In-One Printer, Copier, Scanner"/>
    <n v="43.199100000000001"/>
    <x v="0"/>
  </r>
  <r>
    <s v="Canon Image Class D660 Copier"/>
    <n v="1691.9718"/>
    <x v="2"/>
  </r>
  <r>
    <s v="Canon Imageclass D680 Copier / Fax"/>
    <n v="2799.96"/>
    <x v="2"/>
  </r>
  <r>
    <s v="Canon PC-428 Personal Copier"/>
    <n v="1469.9265"/>
    <x v="2"/>
  </r>
  <r>
    <s v="Canon PC1060 Personal Laser Copier"/>
    <n v="4570.9346999999998"/>
    <x v="2"/>
  </r>
  <r>
    <s v="Canon PC1080F Personal Copier"/>
    <n v="1973.9671000000001"/>
    <x v="2"/>
  </r>
  <r>
    <s v="Canon PC170 Desktop Personal Copier"/>
    <n v="67.179000000000002"/>
    <x v="0"/>
  </r>
  <r>
    <s v="Canon PC940 Copier"/>
    <n v="2092.4535000000001"/>
    <x v="2"/>
  </r>
  <r>
    <s v="Canon imageCLASS 2200 Advanced Copier"/>
    <n v="25199.928"/>
    <x v="2"/>
  </r>
  <r>
    <s v="Canon imageCLASS MF7460 Monochrome Digital Laser Multifunction Copier"/>
    <n v="1995.99"/>
    <x v="2"/>
  </r>
  <r>
    <s v="Canvas Sectional Post Binders"/>
    <n v="59.0672"/>
    <x v="0"/>
  </r>
  <r>
    <s v="Cardinal EasyOpen D-Ring Binders"/>
    <n v="26.506000000000011"/>
    <x v="0"/>
  </r>
  <r>
    <s v="Cardinal HOLDit! Binder Insert Strips,Extra Strips"/>
    <n v="4.3677000000000001"/>
    <x v="0"/>
  </r>
  <r>
    <s v="Cardinal Hold-It CD Pocket"/>
    <n v="-12.4488"/>
    <x v="0"/>
  </r>
  <r>
    <s v="Cardinal Holdit Business Card Pockets"/>
    <n v="22.908000000000001"/>
    <x v="0"/>
  </r>
  <r>
    <s v="Cardinal Holdit Data Disk Pockets"/>
    <n v="38.729599999999998"/>
    <x v="0"/>
  </r>
  <r>
    <s v="Cardinal Poly Pocket Divider Pockets for Ring Binders"/>
    <n v="12.6"/>
    <x v="0"/>
  </r>
  <r>
    <s v="Cardinal Slant-D Ring Binder, Heavy Gauge Vinyl"/>
    <n v="5.3877999999999986"/>
    <x v="0"/>
  </r>
  <r>
    <s v="Cardinal Slant-D Ring Binders"/>
    <n v="46.057000000000002"/>
    <x v="0"/>
  </r>
  <r>
    <s v="Career Cubicle Clock, 8 1/4&quot;, Black"/>
    <n v="68.951999999999998"/>
    <x v="0"/>
  </r>
  <r>
    <s v="Carina 42&quot;Hx23 3/4&quot;W Media Storage Unit"/>
    <n v="-110.1328"/>
    <x v="0"/>
  </r>
  <r>
    <s v="Carina Double Wide Media Storage Towers in Natural &amp; Black"/>
    <n v="-3.239200000000011"/>
    <x v="0"/>
  </r>
  <r>
    <s v="Carina Media Storage Towers in Natural &amp; Black"/>
    <n v="-121.96"/>
    <x v="0"/>
  </r>
  <r>
    <s v="Carina Mini System Audio Rack, Model AR050B"/>
    <n v="-68.807599999999979"/>
    <x v="0"/>
  </r>
  <r>
    <s v="Case Logic 2.4GHz Wireless Keyboard"/>
    <n v="-11.997600000000009"/>
    <x v="0"/>
  </r>
  <r>
    <s v="Catalog Binders with Expanding Posts"/>
    <n v="-242.208"/>
    <x v="0"/>
  </r>
  <r>
    <s v="Cherry 142-key Programmable Keyboard"/>
    <n v="52.769199999999998"/>
    <x v="0"/>
  </r>
  <r>
    <s v="Chromcraft 48&quot; x 96&quot; Racetrack Double Pedestal Table"/>
    <n v="-404.00639999999999"/>
    <x v="0"/>
  </r>
  <r>
    <s v="Chromcraft Bull-Nose Wood 48&quot; x 96&quot; Rectangular Conference Tables"/>
    <n v="-611.58780000000002"/>
    <x v="0"/>
  </r>
  <r>
    <s v="Chromcraft Bull-Nose Wood Oval Conference Tables &amp; Bases"/>
    <n v="-2876.1156000000001"/>
    <x v="0"/>
  </r>
  <r>
    <s v="Chromcraft Bull-Nose Wood Round Conference Table Top, Wood Base"/>
    <n v="100.211"/>
    <x v="1"/>
  </r>
  <r>
    <s v="Chromcraft Rectangular Conference Tables"/>
    <n v="-450.24300000000011"/>
    <x v="0"/>
  </r>
  <r>
    <s v="Chromcraft Round Conference Tables"/>
    <n v="-189.97610000000009"/>
    <x v="0"/>
  </r>
  <r>
    <s v="Cisco 8961 IP Phone Charcoal"/>
    <n v="-164.9538"/>
    <x v="0"/>
  </r>
  <r>
    <s v="Cisco 8x8 Inc. 6753i IP Business Phone System"/>
    <n v="83.693799999999996"/>
    <x v="0"/>
  </r>
  <r>
    <s v="Cisco 9971 IP Video Phone Charcoal"/>
    <n v="466.4"/>
    <x v="1"/>
  </r>
  <r>
    <s v="Cisco CP-7937G Unified IP Conference Station Phone"/>
    <n v="-55.655999999999999"/>
    <x v="0"/>
  </r>
  <r>
    <s v="Cisco Desktop Collaboration Experience DX650 IP Video Phone"/>
    <n v="130.20750000000001"/>
    <x v="1"/>
  </r>
  <r>
    <s v="Cisco IP Phone 7961G-GE VoIP phone"/>
    <n v="-119.119"/>
    <x v="0"/>
  </r>
  <r>
    <s v="Cisco IP Phone 7961G VoIP phone - Dark gray"/>
    <n v="228.39599999999999"/>
    <x v="1"/>
  </r>
  <r>
    <s v="Cisco SPA 501G IP Phone"/>
    <n v="16.010999999999999"/>
    <x v="0"/>
  </r>
  <r>
    <s v="Cisco SPA 502G IP Phone"/>
    <n v="299.87500000000011"/>
    <x v="1"/>
  </r>
  <r>
    <s v="Cisco SPA112 2 Port Phone Adapter"/>
    <n v="87.370499999999993"/>
    <x v="0"/>
  </r>
  <r>
    <s v="Cisco SPA301"/>
    <n v="904.74199999999996"/>
    <x v="2"/>
  </r>
  <r>
    <s v="Cisco SPA508G"/>
    <n v="207.86850000000001"/>
    <x v="1"/>
  </r>
  <r>
    <s v="Cisco SPA525G2 5-Line IP Phone"/>
    <n v="648.56240000000003"/>
    <x v="2"/>
  </r>
  <r>
    <s v="Cisco SPA525G2 IP Phone - Wireless"/>
    <n v="43.091999999999999"/>
    <x v="0"/>
  </r>
  <r>
    <s v="Cisco Small Business SPA 502G VoIP phone"/>
    <n v="58.4649"/>
    <x v="0"/>
  </r>
  <r>
    <s v="Cisco TelePresence System EX90 Videoconferencing Unit"/>
    <n v="-1811.0784000000001"/>
    <x v="0"/>
  </r>
  <r>
    <s v="Cisco Unified IP Phone 7945G VoIP phone"/>
    <n v="102.297"/>
    <x v="1"/>
  </r>
  <r>
    <s v="Clarity 53712"/>
    <n v="68.629600000000011"/>
    <x v="0"/>
  </r>
  <r>
    <s v="Classic Ivory Antique Telephone ZL1810"/>
    <n v="40.195999999999998"/>
    <x v="0"/>
  </r>
  <r>
    <s v="Clear Mylar Reinforcing Strips"/>
    <n v="90.272699999999986"/>
    <x v="0"/>
  </r>
  <r>
    <s v="ClearOne CHATAttach 160 - speaker phone"/>
    <n v="1053.9829999999999"/>
    <x v="2"/>
  </r>
  <r>
    <s v="ClearOne Communications CHAT 70 OC Speaker Phone"/>
    <n v="273.46280000000002"/>
    <x v="1"/>
  </r>
  <r>
    <s v="ClearSounds CSC500 Amplified Spirit Phone Corded phone"/>
    <n v="162.3768"/>
    <x v="1"/>
  </r>
  <r>
    <s v="Clearsounds A400"/>
    <n v="-48.832599999999999"/>
    <x v="0"/>
  </r>
  <r>
    <s v="Col-Erase Pencils with Erasers"/>
    <n v="7.4784000000000006"/>
    <x v="0"/>
  </r>
  <r>
    <s v="Color-Coded Legal Exhibit Labels"/>
    <n v="7.2176999999999998"/>
    <x v="0"/>
  </r>
  <r>
    <s v="Colored Envelopes"/>
    <n v="19.040400000000002"/>
    <x v="0"/>
  </r>
  <r>
    <s v="Colored Push Pins"/>
    <n v="7.6020000000000012"/>
    <x v="0"/>
  </r>
  <r>
    <s v="Coloredge Poster Frame"/>
    <n v="116.298"/>
    <x v="1"/>
  </r>
  <r>
    <s v="Colorific Watercolor Pencils"/>
    <n v="11.3004"/>
    <x v="0"/>
  </r>
  <r>
    <s v="Commercial WindTunnel Clean Air Upright Vacuum, Replacement Belts, Filtration Bags"/>
    <n v="1.633800000000001"/>
    <x v="0"/>
  </r>
  <r>
    <s v="Compact Automatic Electric Letter Opener"/>
    <n v="-57.268800000000013"/>
    <x v="0"/>
  </r>
  <r>
    <s v="Companion Letter/Legal File, Black"/>
    <n v="149.52959999999999"/>
    <x v="1"/>
  </r>
  <r>
    <s v="Computer Printout Index Tabs"/>
    <n v="-2.016"/>
    <x v="0"/>
  </r>
  <r>
    <s v="Computer Printout Paper with Letter-Trim Fine Perforations"/>
    <n v="91.968000000000004"/>
    <x v="0"/>
  </r>
  <r>
    <s v="Computer Printout Paper with Letter-Trim Perforations"/>
    <n v="169.2124"/>
    <x v="1"/>
  </r>
  <r>
    <s v="Computer Room Manger, 14&quot;"/>
    <n v="179.28960000000001"/>
    <x v="1"/>
  </r>
  <r>
    <s v="Conquest 14 Commercial Heavy-Duty Upright Vacuum, Collection System, Accessory Kit"/>
    <n v="61.516800000000003"/>
    <x v="0"/>
  </r>
  <r>
    <s v="Contemporary Borderless Frame"/>
    <n v="3.6162000000000001"/>
    <x v="0"/>
  </r>
  <r>
    <s v="Contemporary Wood/Metal Frame"/>
    <n v="4.847999999999999"/>
    <x v="0"/>
  </r>
  <r>
    <s v="Contico 72&quot;H Heavy-Duty Storage System"/>
    <n v="-57.372"/>
    <x v="0"/>
  </r>
  <r>
    <s v="Contract Clock, 14&quot;, Brown"/>
    <n v="29.453199999999999"/>
    <x v="0"/>
  </r>
  <r>
    <s v="Convenience Packs of Business Envelopes"/>
    <n v="24.109200000000001"/>
    <x v="0"/>
  </r>
  <r>
    <s v="Crate-A-Files"/>
    <n v="31.391999999999999"/>
    <x v="0"/>
  </r>
  <r>
    <s v="Crayola Anti Dust Chalk, 12/Pack"/>
    <n v="24.661000000000001"/>
    <x v="0"/>
  </r>
  <r>
    <s v="Crayola Colored Pencils"/>
    <n v="32.799999999999997"/>
    <x v="0"/>
  </r>
  <r>
    <s v="Cubify CubeX 3D Printer Double Head Print"/>
    <n v="-8879.9704000000002"/>
    <x v="0"/>
  </r>
  <r>
    <s v="Cubify CubeX 3D Printer Triple Head Print"/>
    <n v="-3839.9904000000001"/>
    <x v="0"/>
  </r>
  <r>
    <s v="Cush Cases Heavy Duty Rugged Cover Case for Samsung Galaxy S5 - Purple"/>
    <n v="3.9104999999999999"/>
    <x v="0"/>
  </r>
  <r>
    <s v="Cyber Acoustics AC-202b Speech Recognition Stereo Headset"/>
    <n v="-20.5242"/>
    <x v="0"/>
  </r>
  <r>
    <s v="DAX Black Cherry Wood-Tone Poster Frame"/>
    <n v="61.433599999999998"/>
    <x v="0"/>
  </r>
  <r>
    <s v="DAX Charcoal/Nickel-Tone Document Frame, 5 x 7"/>
    <n v="48.822000000000003"/>
    <x v="0"/>
  </r>
  <r>
    <s v="DAX Clear Channel Poster Frame"/>
    <n v="27.702000000000002"/>
    <x v="0"/>
  </r>
  <r>
    <s v="DAX Contemporary Wood Frame with Silver Metal Mat, Desktop, 11 x 14 Size"/>
    <n v="97.152000000000001"/>
    <x v="0"/>
  </r>
  <r>
    <s v="DAX Copper Panel Document Frame, 5 x 7 Size"/>
    <n v="39.752799999999993"/>
    <x v="0"/>
  </r>
  <r>
    <s v="DAX Cubicle Frames - 8x10"/>
    <n v="20.771999999999998"/>
    <x v="0"/>
  </r>
  <r>
    <s v="DAX Cubicle Frames, 8-1/2 x 11"/>
    <n v="52.448399999999999"/>
    <x v="0"/>
  </r>
  <r>
    <s v="DAX Executive Solid Wood Document Frame, Desktop or Hang, Mahogany, 5 x 7"/>
    <n v="55.1004"/>
    <x v="0"/>
  </r>
  <r>
    <s v="DAX Metal Frame, Desktop, Stepped-Edge"/>
    <n v="26.1096"/>
    <x v="0"/>
  </r>
  <r>
    <s v="DAX Natural Wood-Tone Poster Frame"/>
    <n v="123.9264"/>
    <x v="1"/>
  </r>
  <r>
    <s v="DAX Solid Wood Frames"/>
    <n v="33.3157"/>
    <x v="0"/>
  </r>
  <r>
    <s v="DAX Two-Tone Rosewood/Black Document Frame, Desktop, 5 x 7"/>
    <n v="73.944000000000003"/>
    <x v="0"/>
  </r>
  <r>
    <s v="DAX Two-Tone Silver Metal Document Frame"/>
    <n v="84.805600000000013"/>
    <x v="0"/>
  </r>
  <r>
    <s v="DAX Value U-Channel Document Frames, Easel Back"/>
    <n v="52.483199999999997"/>
    <x v="0"/>
  </r>
  <r>
    <s v="DAX Wood Document Frame"/>
    <n v="126.316"/>
    <x v="1"/>
  </r>
  <r>
    <s v="DAX Wood Document Frame."/>
    <n v="7.6888000000000014"/>
    <x v="0"/>
  </r>
  <r>
    <s v="DIXON Oriole Pencils"/>
    <n v="8.6171999999999986"/>
    <x v="0"/>
  </r>
  <r>
    <s v="DIXON Ticonderoga Erasable Checking Pencils"/>
    <n v="26.78400000000001"/>
    <x v="0"/>
  </r>
  <r>
    <s v="DMI Arturo Collection Mission-style Design Wood Chair"/>
    <n v="486.15559999999999"/>
    <x v="1"/>
  </r>
  <r>
    <s v="DMI Eclipse Executive Suite Bookcases"/>
    <n v="90.176400000000015"/>
    <x v="0"/>
  </r>
  <r>
    <s v="DXL Angle-View Binders with Locking Rings by Samsill"/>
    <n v="66.691499999999991"/>
    <x v="0"/>
  </r>
  <r>
    <s v="DXL Angle-View Binders with Locking Rings, Black"/>
    <n v="42.049799999999998"/>
    <x v="0"/>
  </r>
  <r>
    <s v="DYMO CardScan Personal V9 Business Card Scanner"/>
    <n v="463.971"/>
    <x v="1"/>
  </r>
  <r>
    <s v="Dana Fluorescent Magnifying Lamp, White, 36&quot;"/>
    <n v="81.567999999999998"/>
    <x v="0"/>
  </r>
  <r>
    <s v="Dana Halogen Swing-Arm Architect Lamp"/>
    <n v="288.42880000000002"/>
    <x v="1"/>
  </r>
  <r>
    <s v="Dana Swing-Arm Lamps"/>
    <n v="-11.214"/>
    <x v="0"/>
  </r>
  <r>
    <s v="DataProducts Ampli Magnifier Task Lamp, Black,"/>
    <n v="99.580799999999996"/>
    <x v="0"/>
  </r>
  <r>
    <s v="Dax Clear Box Frame"/>
    <n v="15.364800000000001"/>
    <x v="0"/>
  </r>
  <r>
    <s v="Decoflex Hanging Personal Folder File"/>
    <n v="12.0276"/>
    <x v="0"/>
  </r>
  <r>
    <s v="Decoflex Hanging Personal Folder File, Blue"/>
    <n v="124.131"/>
    <x v="1"/>
  </r>
  <r>
    <s v="Deflect-O Glasstique Clear Desk Accessories"/>
    <n v="37.036999999999999"/>
    <x v="0"/>
  </r>
  <r>
    <s v="Deflect-o DuraMat Antistatic Studded Beveled Mat for Medium Pile Carpeting"/>
    <n v="244.3888"/>
    <x v="1"/>
  </r>
  <r>
    <s v="Deflect-o DuraMat Lighweight, Studded, Beveled Mat for Low Pile Carpeting"/>
    <n v="72.078499999999991"/>
    <x v="0"/>
  </r>
  <r>
    <s v="Deflect-o EconoMat Nonstudded, No Bevel Mat"/>
    <n v="123.96"/>
    <x v="1"/>
  </r>
  <r>
    <s v="Deflect-o EconoMat Studded, No Bevel Mat for Low Pile Carpeting"/>
    <n v="-125.1996"/>
    <x v="0"/>
  </r>
  <r>
    <s v="Deflect-o Glass Clear Studded Chair Mats"/>
    <n v="318.36160000000001"/>
    <x v="1"/>
  </r>
  <r>
    <s v="Deflect-o RollaMat Studded, Beveled Mat for Medium Pile Carpeting"/>
    <n v="-343.09559999999999"/>
    <x v="0"/>
  </r>
  <r>
    <s v="Deflect-o SuperTray Unbreakable Stackable Tray, Letter, Black"/>
    <n v="138.31319999999999"/>
    <x v="1"/>
  </r>
  <r>
    <s v="Dell Slim USB Multimedia Keyboard"/>
    <n v="30"/>
    <x v="0"/>
  </r>
  <r>
    <s v="Deluxe Chalkboard Eraser Cleaner"/>
    <n v="76.460999999999999"/>
    <x v="0"/>
  </r>
  <r>
    <s v="Deluxe Heavy-Duty Vinyl Round Ring Binder"/>
    <n v="88.242000000000004"/>
    <x v="0"/>
  </r>
  <r>
    <s v="Deluxe Rollaway Locking File with Drawer"/>
    <n v="1380.7216000000001"/>
    <x v="2"/>
  </r>
  <r>
    <s v="Design Ebony Sketching Pencil"/>
    <n v="2.3073999999999999"/>
    <x v="0"/>
  </r>
  <r>
    <s v="Desktop 3-Pocket Hot File"/>
    <n v="59.510000000000012"/>
    <x v="0"/>
  </r>
  <r>
    <s v="Dexim XPower Skin Super-Thin Power Case for iPhone 5 - Black"/>
    <n v="-14.6225"/>
    <x v="0"/>
  </r>
  <r>
    <s v="Digium D40 VoIP phone"/>
    <n v="571.42570000000001"/>
    <x v="2"/>
  </r>
  <r>
    <s v="Disposable Triple-Filter Dust Bags"/>
    <n v="11.362"/>
    <x v="0"/>
  </r>
  <r>
    <s v="Dixon My First Ticonderoga Pencil, #2"/>
    <n v="17.023499999999999"/>
    <x v="0"/>
  </r>
  <r>
    <s v="Dixon Prang Watercolor Pencils, 10-Color Set with Brush"/>
    <n v="42.898200000000003"/>
    <x v="0"/>
  </r>
  <r>
    <s v="Dixon Ticonderoga Core-Lock Colored Pencils"/>
    <n v="58.668400000000013"/>
    <x v="0"/>
  </r>
  <r>
    <s v="Dixon Ticonderoga Core-Lock Colored Pencils, 48-Color Set"/>
    <n v="165.20599999999999"/>
    <x v="1"/>
  </r>
  <r>
    <s v="Dixon Ticonderoga Erasable Colored Pencil Set, 12-Color"/>
    <n v="20.0928"/>
    <x v="0"/>
  </r>
  <r>
    <s v="Dixon Ticonderoga Maple Cedar Pencil, #2"/>
    <n v="4.9120000000000008"/>
    <x v="0"/>
  </r>
  <r>
    <s v="Dixon Ticonderoga Pencils"/>
    <n v="9.2678000000000011"/>
    <x v="0"/>
  </r>
  <r>
    <s v="Document Clip Frames"/>
    <n v="16.012799999999999"/>
    <x v="0"/>
  </r>
  <r>
    <s v="Dot Matrix Printer Tape Reel Labels, White, 5000/Box"/>
    <n v="1517.9064000000001"/>
    <x v="2"/>
  </r>
  <r>
    <s v="Dual Level, Single-Width Filing Carts"/>
    <n v="1640.5347999999999"/>
    <x v="2"/>
  </r>
  <r>
    <s v="Durable Pressboard Binders"/>
    <n v="15.086"/>
    <x v="0"/>
  </r>
  <r>
    <s v="Easy-staple paper"/>
    <n v="1096.0291999999999"/>
    <x v="2"/>
  </r>
  <r>
    <s v="Eaton Premium Continuous-Feed Paper, 25% Cotton, Letter Size, White, 1000 Shts/Box"/>
    <n v="492.66239999999999"/>
    <x v="1"/>
  </r>
  <r>
    <s v="Eberhard Faber 3 1/2&quot; Golf Pencils"/>
    <n v="28.271999999999998"/>
    <x v="0"/>
  </r>
  <r>
    <s v="EcoTones Memo Sheets"/>
    <n v="21.6"/>
    <x v="0"/>
  </r>
  <r>
    <s v="Economy #2 Pencils"/>
    <n v="8.9908000000000001"/>
    <x v="0"/>
  </r>
  <r>
    <s v="Economy Binders"/>
    <n v="9.7967999999999993"/>
    <x v="0"/>
  </r>
  <r>
    <s v="Economy Rollaway Files"/>
    <n v="693.83999999999992"/>
    <x v="2"/>
  </r>
  <r>
    <s v="Eldon &quot;L&quot; Workstation Diamond Chairmat"/>
    <n v="-267.44959999999998"/>
    <x v="0"/>
  </r>
  <r>
    <s v="Eldon 100 Class Desk Accessories"/>
    <n v="-4.8528000000000011"/>
    <x v="0"/>
  </r>
  <r>
    <s v="Eldon 200 Class Desk Accessories"/>
    <n v="39.18719999999999"/>
    <x v="0"/>
  </r>
  <r>
    <s v="Eldon 200 Class Desk Accessories, Black"/>
    <n v="28.636800000000001"/>
    <x v="0"/>
  </r>
  <r>
    <s v="Eldon 200 Class Desk Accessories, Burgundy"/>
    <n v="44.588000000000001"/>
    <x v="0"/>
  </r>
  <r>
    <s v="Eldon 200 Class Desk Accessories, Smoke"/>
    <n v="58.027200000000001"/>
    <x v="0"/>
  </r>
  <r>
    <s v="Eldon 300 Class Desk Accessories, Black"/>
    <n v="13.068"/>
    <x v="0"/>
  </r>
  <r>
    <s v="Eldon 400 Class Desk Accessories, Black Carbon"/>
    <n v="47.6"/>
    <x v="0"/>
  </r>
  <r>
    <s v="Eldon 500 Class Desk Accessories"/>
    <n v="60.470699999999987"/>
    <x v="0"/>
  </r>
  <r>
    <s v="Eldon Advantage Chair Mats for Low to Medium Pile Carpets"/>
    <n v="56.302999999999997"/>
    <x v="0"/>
  </r>
  <r>
    <s v="Eldon Advantage Foldable Chair Mats for Low Pile Carpets"/>
    <n v="-48.78"/>
    <x v="0"/>
  </r>
  <r>
    <s v="Eldon Antistatic Chair Mats for Low to Medium Pile Carpets"/>
    <n v="46.327599999999997"/>
    <x v="0"/>
  </r>
  <r>
    <s v="Eldon Base for stackable storage shelf, platinum"/>
    <n v="-52.569000000000003"/>
    <x v="0"/>
  </r>
  <r>
    <s v="Eldon Cleatmat Chair Mats for Medium Pile Carpets"/>
    <n v="-42.180000000000007"/>
    <x v="0"/>
  </r>
  <r>
    <s v="Eldon Cleatmat Plus Chair Mats for High Pile Carpets"/>
    <n v="-111.328"/>
    <x v="0"/>
  </r>
  <r>
    <s v="Eldon ClusterMat Chair Mat with Cordless Antistatic Protection"/>
    <n v="-256.56360000000001"/>
    <x v="0"/>
  </r>
  <r>
    <s v="Eldon Delta Triangular Chair Mat, 52&quot; x 58&quot;, Clear"/>
    <n v="17.447800000000001"/>
    <x v="0"/>
  </r>
  <r>
    <s v="Eldon Econocleat Chair Mats for Low Pile Carpets"/>
    <n v="39.811199999999999"/>
    <x v="0"/>
  </r>
  <r>
    <s v="Eldon Executive Woodline II Cherry Finish Desk Accessories"/>
    <n v="-78.508799999999994"/>
    <x v="0"/>
  </r>
  <r>
    <s v="Eldon Executive Woodline II Desk Accessories, Mahogany"/>
    <n v="50.008699999999997"/>
    <x v="0"/>
  </r>
  <r>
    <s v="Eldon Expressions Desk Accessory, Wood Pencil Holder, Oak"/>
    <n v="6.7550000000000008"/>
    <x v="0"/>
  </r>
  <r>
    <s v="Eldon Expressions Desk Accessory, Wood Photo Frame, Mahogany"/>
    <n v="-7.6160000000000032"/>
    <x v="0"/>
  </r>
  <r>
    <s v="Eldon Expressions Mahogany Wood Desk Collection"/>
    <n v="23.4"/>
    <x v="0"/>
  </r>
  <r>
    <s v="Eldon Expressions Punched Metal &amp; Wood Desk Accessories, Black &amp; Cherry"/>
    <n v="20.635999999999999"/>
    <x v="0"/>
  </r>
  <r>
    <s v="Eldon Expressions Punched Metal &amp; Wood Desk Accessories, Pewter &amp; Cherry"/>
    <n v="21.7056"/>
    <x v="0"/>
  </r>
  <r>
    <s v="Eldon Expressions Wood Desk Accessories, Oak"/>
    <n v="10.1106"/>
    <x v="0"/>
  </r>
  <r>
    <s v="Eldon Expressions Wood and Plastic Desk Accessories, Cherry Wood"/>
    <n v="46.556600000000003"/>
    <x v="0"/>
  </r>
  <r>
    <s v="Eldon Expressions Wood and Plastic Desk Accessories, Oak"/>
    <n v="41.915999999999997"/>
    <x v="0"/>
  </r>
  <r>
    <s v="Eldon File Chest Portable File"/>
    <n v="5.9550000000000001"/>
    <x v="0"/>
  </r>
  <r>
    <s v="Eldon Fold 'N Roll Cart System"/>
    <n v="63.748800000000003"/>
    <x v="0"/>
  </r>
  <r>
    <s v="Eldon Gobal File Keepers"/>
    <n v="-0.60559999999999903"/>
    <x v="0"/>
  </r>
  <r>
    <s v="Eldon Image Series Black Desk Accessories"/>
    <n v="17.056799999999999"/>
    <x v="0"/>
  </r>
  <r>
    <s v="Eldon Image Series Desk Accessories, Burgundy"/>
    <n v="28.256799999999998"/>
    <x v="0"/>
  </r>
  <r>
    <s v="Eldon Image Series Desk Accessories, Ebony"/>
    <n v="55.822000000000003"/>
    <x v="0"/>
  </r>
  <r>
    <s v="Eldon Imàge Series Desk Accessories, Clear"/>
    <n v="6.3666"/>
    <x v="0"/>
  </r>
  <r>
    <s v="Eldon Jumbo ProFile Portable File Boxes Graphite/Black"/>
    <n v="3.6743999999999999"/>
    <x v="0"/>
  </r>
  <r>
    <s v="Eldon Mobile Mega Data Cart  Mega Stackable  Add-On Trays"/>
    <n v="205.755"/>
    <x v="1"/>
  </r>
  <r>
    <s v="Eldon Pizzaz Desk Accessories"/>
    <n v="13.736800000000001"/>
    <x v="0"/>
  </r>
  <r>
    <s v="Eldon Portable Mobile Manager"/>
    <n v="197.39439999999999"/>
    <x v="1"/>
  </r>
  <r>
    <s v="Eldon ProFile File 'N Store Portable File Tub Letter/Legal Size Black"/>
    <n v="127.446"/>
    <x v="1"/>
  </r>
  <r>
    <s v="Eldon Radial Chair Mat for Low to Medium Pile Carpets"/>
    <n v="135.93199999999999"/>
    <x v="1"/>
  </r>
  <r>
    <s v="Eldon Regeneration Recycled Desk Accessories, Black"/>
    <n v="13.116400000000001"/>
    <x v="0"/>
  </r>
  <r>
    <s v="Eldon Regeneration Recycled Desk Accessories, Smoke"/>
    <n v="8.9087999999999994"/>
    <x v="0"/>
  </r>
  <r>
    <s v="Eldon Shelf Savers Cubes and Bins"/>
    <n v="-7.677999999999999"/>
    <x v="0"/>
  </r>
  <r>
    <s v="Eldon Simplefile Box Office"/>
    <n v="77.128"/>
    <x v="0"/>
  </r>
  <r>
    <s v="Eldon Spacemaker Box, Quick-Snap Lid, Clear"/>
    <n v="9.2851999999999997"/>
    <x v="0"/>
  </r>
  <r>
    <s v="Eldon Stackable Tray, Side-Load, Legal, Smoke"/>
    <n v="52.8292"/>
    <x v="0"/>
  </r>
  <r>
    <s v="Eldon Wave Desk Accessories"/>
    <n v="98.999600000000001"/>
    <x v="0"/>
  </r>
  <r>
    <s v="Electrix 20W Halogen Replacement Bulb for Zoom-In Desk Lamp"/>
    <n v="78.256"/>
    <x v="0"/>
  </r>
  <r>
    <s v="Electrix Architect's Clamp-On Swing Arm Lamp, Black"/>
    <n v="627.17220000000009"/>
    <x v="2"/>
  </r>
  <r>
    <s v="Electrix Fluorescent Magnifier Lamps &amp; Weighted Base"/>
    <n v="73.023200000000003"/>
    <x v="0"/>
  </r>
  <r>
    <s v="Electrix Halogen Magnifier Lamp"/>
    <n v="314.76600000000002"/>
    <x v="1"/>
  </r>
  <r>
    <s v="Electrix Incandescent Magnifying Lamp, Black"/>
    <n v="-16.4925"/>
    <x v="0"/>
  </r>
  <r>
    <s v="Elite 5&quot; Scissors"/>
    <n v="37.18"/>
    <x v="0"/>
  </r>
  <r>
    <s v="Embossed Ink Jet Note Cards"/>
    <n v="108.336"/>
    <x v="1"/>
  </r>
  <r>
    <s v="Enermax Acrylux Wireless Keyboard"/>
    <n v="630.46799999999996"/>
    <x v="2"/>
  </r>
  <r>
    <s v="Enermax Aurora Lite Keyboard"/>
    <n v="722.10599999999999"/>
    <x v="2"/>
  </r>
  <r>
    <s v="Enermax Briskie RF Wireless Keyboard and Mouse Combo"/>
    <n v="150.37479999999999"/>
    <x v="1"/>
  </r>
  <r>
    <s v="Epson Perfection V600 Photo Scanner"/>
    <n v="-172.49250000000001"/>
    <x v="0"/>
  </r>
  <r>
    <s v="Epson TM-T88V Direct Thermal Printer - Monochrome - Desktop"/>
    <n v="-1057.23"/>
    <x v="0"/>
  </r>
  <r>
    <s v="Epson WorkForce WF-2530 All-in-One Printer, Copier Scanner"/>
    <n v="120.3828"/>
    <x v="1"/>
  </r>
  <r>
    <s v="Eureka Disposable Bags for Sanitaire Vibra Groomer I Upright Vac"/>
    <n v="-4.4660000000000002"/>
    <x v="0"/>
  </r>
  <r>
    <s v="Eureka Hand Vacuum, Bagless"/>
    <n v="55.361600000000003"/>
    <x v="0"/>
  </r>
  <r>
    <s v="Eureka Recycled Copy Paper 8 1/2&quot; x 11&quot;, Ream"/>
    <n v="46.137599999999992"/>
    <x v="0"/>
  </r>
  <r>
    <s v="Eureka Sanitaire  Commercial Upright"/>
    <n v="53.027200000000001"/>
    <x v="0"/>
  </r>
  <r>
    <s v="Eureka Sanitaire  Multi-Pro Heavy-Duty Upright, Disposable Bags"/>
    <n v="12.760400000000001"/>
    <x v="0"/>
  </r>
  <r>
    <s v="Eureka The Boss Cordless Rechargeable Stick Vac"/>
    <n v="241.1354"/>
    <x v="1"/>
  </r>
  <r>
    <s v="Eureka The Boss Lite 10-Amp Upright Vacuum, Blue"/>
    <n v="291.7824"/>
    <x v="1"/>
  </r>
  <r>
    <s v="Eureka The Boss Plus 12-Amp Hard Box Upright Vacuum, Red"/>
    <n v="146.51"/>
    <x v="1"/>
  </r>
  <r>
    <s v="Euro Pro Shark Stick Mini Vacuum"/>
    <n v="-325.63319999999999"/>
    <x v="0"/>
  </r>
  <r>
    <s v="Euro-Pro Shark Turbo Vacuum"/>
    <n v="143.74719999999999"/>
    <x v="1"/>
  </r>
  <r>
    <s v="Executive Impressions 10&quot; Spectator Wall Clock"/>
    <n v="87.964800000000011"/>
    <x v="0"/>
  </r>
  <r>
    <s v="Executive Impressions 12&quot; Wall Clock"/>
    <n v="23.324400000000001"/>
    <x v="0"/>
  </r>
  <r>
    <s v="Executive Impressions 13&quot; Chairman Wall Clock"/>
    <n v="72.332999999999998"/>
    <x v="0"/>
  </r>
  <r>
    <s v="Executive Impressions 13&quot; Clairmont Wall Clock"/>
    <n v="88.457999999999998"/>
    <x v="0"/>
  </r>
  <r>
    <s v="Executive Impressions 13-1/2&quot; Indoor/Outdoor Wall Clock"/>
    <n v="21.318000000000001"/>
    <x v="0"/>
  </r>
  <r>
    <s v="Executive Impressions 14&quot;"/>
    <n v="166.28039999999999"/>
    <x v="1"/>
  </r>
  <r>
    <s v="Executive Impressions 14&quot; Contract Wall Clock"/>
    <n v="93.58829999999999"/>
    <x v="0"/>
  </r>
  <r>
    <s v="Executive Impressions 14&quot; Contract Wall Clock with Quartz Movement"/>
    <n v="-1.778399999999998"/>
    <x v="0"/>
  </r>
  <r>
    <s v="Executive Impressions 14&quot; Two-Color Numerals Wall Clock"/>
    <n v="94.515199999999993"/>
    <x v="0"/>
  </r>
  <r>
    <s v="Executive Impressions 16-1/2&quot; Circular Wall Clock"/>
    <n v="-1.0688"/>
    <x v="0"/>
  </r>
  <r>
    <s v="Executive Impressions 8-1/2&quot; Career Panel/Partition Cubicle Clock"/>
    <n v="18.512"/>
    <x v="0"/>
  </r>
  <r>
    <s v="Executive Impressions Supervisor Wall Clock"/>
    <n v="266.072"/>
    <x v="1"/>
  </r>
  <r>
    <s v="Faber Castell Col-Erase Pencils"/>
    <n v="14.0832"/>
    <x v="0"/>
  </r>
  <r>
    <s v="Fashion Color Clasp Envelopes"/>
    <n v="36.517499999999998"/>
    <x v="0"/>
  </r>
  <r>
    <s v="Fellowes 8 Outlet Superior Workstation Surge Protector"/>
    <n v="166.84"/>
    <x v="1"/>
  </r>
  <r>
    <s v="Fellowes 8 Outlet Superior Workstation Surge Protector w/o Phone/Fax/Modem Protection"/>
    <n v="43.706000000000003"/>
    <x v="0"/>
  </r>
  <r>
    <s v="Fellowes Advanced 8 Outlet Surge Suppressor with Phone/Fax Protection"/>
    <n v="41.64"/>
    <x v="0"/>
  </r>
  <r>
    <s v="Fellowes Advanced Computer Series Surge Protectors"/>
    <n v="100.66200000000001"/>
    <x v="1"/>
  </r>
  <r>
    <s v="Fellowes Bankers Box Recycled Super Stor/Drawer"/>
    <n v="-30.22880000000001"/>
    <x v="0"/>
  </r>
  <r>
    <s v="Fellowes Bankers Box Staxonsteel Drawer File/Stacking System"/>
    <n v="153.3528"/>
    <x v="1"/>
  </r>
  <r>
    <s v="Fellowes Bankers Box Stor/Drawer Steel Plus"/>
    <n v="-12.792"/>
    <x v="0"/>
  </r>
  <r>
    <s v="Fellowes Bases and Tops For Staxonsteel/High-Stak Systems"/>
    <n v="201.07159999999999"/>
    <x v="1"/>
  </r>
  <r>
    <s v="Fellowes Basic Home/Office Series Surge Protectors"/>
    <n v="58.280200000000008"/>
    <x v="0"/>
  </r>
  <r>
    <s v="Fellowes Binding Cases"/>
    <n v="71.954999999999998"/>
    <x v="0"/>
  </r>
  <r>
    <s v="Fellowes Black Plastic Comb Bindings"/>
    <n v="-4.4156000000000013"/>
    <x v="0"/>
  </r>
  <r>
    <s v="Fellowes Command Center 5-outlet power strip"/>
    <n v="-78.016000000000005"/>
    <x v="0"/>
  </r>
  <r>
    <s v="Fellowes Desktop Hanging File Manager"/>
    <n v="50.362499999999997"/>
    <x v="0"/>
  </r>
  <r>
    <s v="Fellowes Econo/Stor Drawers"/>
    <n v="-56.2194"/>
    <x v="0"/>
  </r>
  <r>
    <s v="Fellowes High-Stak Drawer Files"/>
    <n v="419.33219999999989"/>
    <x v="1"/>
  </r>
  <r>
    <s v="Fellowes Mighty 8 Compact Surge Protector"/>
    <n v="67.296400000000006"/>
    <x v="0"/>
  </r>
  <r>
    <s v="Fellowes Mobile File Cart, Black"/>
    <n v="485.00400000000002"/>
    <x v="1"/>
  </r>
  <r>
    <s v="Fellowes Neat Ideas Storage Cubes"/>
    <n v="-18.188800000000001"/>
    <x v="0"/>
  </r>
  <r>
    <s v="Fellowes Officeware Wire Shelving"/>
    <n v="-332.37099999999998"/>
    <x v="0"/>
  </r>
  <r>
    <s v="Fellowes PB200 Plastic Comb Binding Machine"/>
    <n v="693.55919999999992"/>
    <x v="2"/>
  </r>
  <r>
    <s v="Fellowes PB300 Plastic Comb Binding Machine"/>
    <n v="2518.0551"/>
    <x v="2"/>
  </r>
  <r>
    <s v="Fellowes PB500 Electric Punch Plastic Comb Binding Machine with Manual Bind"/>
    <n v="7753.0389999999998"/>
    <x v="2"/>
  </r>
  <r>
    <s v="Fellowes Personal Hanging Folder Files, Navy"/>
    <n v="52.645600000000002"/>
    <x v="0"/>
  </r>
  <r>
    <s v="Fellowes Powershred HS-440 4-Sheet High Security Shredder"/>
    <n v="1092.6795"/>
    <x v="2"/>
  </r>
  <r>
    <s v="Fellowes Premier Superior Surge Suppressor, 10-Outlet, With Phone and Remote"/>
    <n v="169.26320000000001"/>
    <x v="1"/>
  </r>
  <r>
    <s v="Fellowes Presentation Covers for Comb Binding Machines"/>
    <n v="21.824999999999999"/>
    <x v="0"/>
  </r>
  <r>
    <s v="Fellowes Recycled Storage Drawers"/>
    <n v="48.853200000000001"/>
    <x v="0"/>
  </r>
  <r>
    <s v="Fellowes Smart Surge Ten-Outlet Protector, Platinum"/>
    <n v="50.584800000000001"/>
    <x v="0"/>
  </r>
  <r>
    <s v="Fellowes Staxonsteel Drawer Files"/>
    <n v="509.96879999999999"/>
    <x v="2"/>
  </r>
  <r>
    <s v="Fellowes Stor/Drawer Steel Plus Storage Drawers"/>
    <n v="78.252600000000001"/>
    <x v="0"/>
  </r>
  <r>
    <s v="Fellowes Strictly Business Drawer File, Letter/Legal Size"/>
    <n v="388.74599999999998"/>
    <x v="1"/>
  </r>
  <r>
    <s v="Fellowes Super Stor/Drawer"/>
    <n v="67.709999999999994"/>
    <x v="0"/>
  </r>
  <r>
    <s v="Fellowes Super Stor/Drawer Files"/>
    <n v="473.3415"/>
    <x v="1"/>
  </r>
  <r>
    <s v="Fellowes Superior 10 Outlet Split Surge Protector"/>
    <n v="57.09"/>
    <x v="0"/>
  </r>
  <r>
    <s v="Fellowes Twister Kit, Gray/Clear, 3/pkg"/>
    <n v="-3.2160000000000011"/>
    <x v="0"/>
  </r>
  <r>
    <s v="File Shuttle I and Handi-File"/>
    <n v="51.420599999999993"/>
    <x v="0"/>
  </r>
  <r>
    <s v="File Shuttle II and Handi-File, Black"/>
    <n v="260.95299999999997"/>
    <x v="1"/>
  </r>
  <r>
    <s v="First Data FD10 PIN Pad"/>
    <n v="15.8"/>
    <x v="0"/>
  </r>
  <r>
    <s v="First Data TMFD35 PIN Pad"/>
    <n v="119.952"/>
    <x v="1"/>
  </r>
  <r>
    <s v="Fiskars 8&quot; Scissors, 2/Pack"/>
    <n v="45.858400000000003"/>
    <x v="0"/>
  </r>
  <r>
    <s v="Fiskars Home &amp; Office Scissors"/>
    <n v="27.3504"/>
    <x v="0"/>
  </r>
  <r>
    <s v="Fiskars Softgrip Scissors"/>
    <n v="86.083199999999991"/>
    <x v="0"/>
  </r>
  <r>
    <s v="Fiskars Spring-Action Scissors"/>
    <n v="13.4208"/>
    <x v="0"/>
  </r>
  <r>
    <s v="Flat Face Poster Frame"/>
    <n v="120.9528"/>
    <x v="1"/>
  </r>
  <r>
    <s v="Flexible Leather- Look Classic Collection Ring Binder"/>
    <n v="18.940000000000001"/>
    <x v="0"/>
  </r>
  <r>
    <s v="Floodlight Indoor Halogen Bulbs, 1 Bulb per Pack, 60 Watts"/>
    <n v="197.10400000000001"/>
    <x v="1"/>
  </r>
  <r>
    <s v="Fluorescent Highlighters by Dixon"/>
    <n v="22.447199999999999"/>
    <x v="0"/>
  </r>
  <r>
    <s v="G.E. Halogen Desk Lamp Bulbs"/>
    <n v="22.894400000000001"/>
    <x v="0"/>
  </r>
  <r>
    <s v="G.E. Longer-Life Indoor Recessed Floodlight Bulbs"/>
    <n v="25.763200000000001"/>
    <x v="0"/>
  </r>
  <r>
    <s v="GBC Binding covers"/>
    <n v="58.922499999999999"/>
    <x v="0"/>
  </r>
  <r>
    <s v="GBC Clear Cover, 8-1/2 x 11, unpunched, 25 covers per pack"/>
    <n v="13.644000000000011"/>
    <x v="0"/>
  </r>
  <r>
    <s v="GBC DocuBind 200 Manual Binding Machine"/>
    <n v="1052.45"/>
    <x v="2"/>
  </r>
  <r>
    <s v="GBC DocuBind 300 Electric Binding Machine"/>
    <n v="494.42120000000011"/>
    <x v="1"/>
  </r>
  <r>
    <s v="GBC DocuBind P100 Manual Binding Machine"/>
    <n v="489.64100000000008"/>
    <x v="1"/>
  </r>
  <r>
    <s v="GBC DocuBind P400 Electric Binding System"/>
    <n v="-1878.1661999999999"/>
    <x v="0"/>
  </r>
  <r>
    <s v="GBC DocuBind P50 Personal Binding Machine"/>
    <n v="569.42200000000003"/>
    <x v="2"/>
  </r>
  <r>
    <s v="GBC DocuBind TL200 Manual Binding Machine"/>
    <n v="1592.4978000000001"/>
    <x v="2"/>
  </r>
  <r>
    <s v="GBC DocuBind TL300 Electric Binding System"/>
    <n v="2233.5050999999999"/>
    <x v="2"/>
  </r>
  <r>
    <s v="GBC Durable Plastic Covers"/>
    <n v="14.319000000000001"/>
    <x v="0"/>
  </r>
  <r>
    <s v="GBC Ibimaster 500 Manual ProClick Binding System"/>
    <n v="760.97999999999956"/>
    <x v="2"/>
  </r>
  <r>
    <s v="GBC Imprintable Covers"/>
    <n v="39.967200000000012"/>
    <x v="0"/>
  </r>
  <r>
    <s v="GBC Instant Index System for Binding Systems"/>
    <n v="-12.432"/>
    <x v="0"/>
  </r>
  <r>
    <s v="GBC Instant Report Kit"/>
    <n v="3.234999999999999"/>
    <x v="0"/>
  </r>
  <r>
    <s v="GBC Laser Imprintable Binding System Covers, Desert Sand"/>
    <n v="18.408300000000001"/>
    <x v="0"/>
  </r>
  <r>
    <s v="GBC Linen Binding Covers"/>
    <n v="-82.406800000000004"/>
    <x v="0"/>
  </r>
  <r>
    <s v="GBC Personal VeloBind Strips"/>
    <n v="-11.261200000000001"/>
    <x v="0"/>
  </r>
  <r>
    <s v="GBC Plastic Binding Combs"/>
    <n v="59.778000000000013"/>
    <x v="0"/>
  </r>
  <r>
    <s v="GBC Plasticlear Binding Covers"/>
    <n v="-68.4208"/>
    <x v="0"/>
  </r>
  <r>
    <s v="GBC Poly Designer Binding Covers"/>
    <n v="102.44880000000001"/>
    <x v="1"/>
  </r>
  <r>
    <s v="GBC Pre-Punched Binding Paper, Plastic, White, 8-1/2&quot; x 11&quot;"/>
    <n v="52.447200000000002"/>
    <x v="0"/>
  </r>
  <r>
    <s v="GBC Premium Transparent Covers with Diagonal Lined Pattern"/>
    <n v="49.512800000000027"/>
    <x v="0"/>
  </r>
  <r>
    <s v="GBC Prepunched Paper, 19-Hole, for Binding Systems, 24-lb"/>
    <n v="125.7838"/>
    <x v="1"/>
  </r>
  <r>
    <s v="GBC Prestige Therm-A-Bind Covers"/>
    <n v="364.71530000000001"/>
    <x v="1"/>
  </r>
  <r>
    <s v="GBC ProClick 150 Presentation Binding System"/>
    <n v="-461.33080000000012"/>
    <x v="0"/>
  </r>
  <r>
    <s v="GBC ProClick Punch Binding System"/>
    <n v="562.38419999999996"/>
    <x v="2"/>
  </r>
  <r>
    <s v="GBC ProClick Spines for 32-Hole Punch"/>
    <n v="-13.2818"/>
    <x v="0"/>
  </r>
  <r>
    <s v="GBC Recycled Grain Textured Covers"/>
    <n v="107.074"/>
    <x v="1"/>
  </r>
  <r>
    <s v="GBC Recycled Regency Composition Covers"/>
    <n v="451.93680000000001"/>
    <x v="1"/>
  </r>
  <r>
    <s v="GBC Recycled VeloBinder Covers"/>
    <n v="100.8768"/>
    <x v="1"/>
  </r>
  <r>
    <s v="GBC Standard Plastic Binding Systems Combs"/>
    <n v="-2.9205000000000001"/>
    <x v="0"/>
  </r>
  <r>
    <s v="GBC Standard Plastic Binding Systems' Combs"/>
    <n v="5.0239999999999991"/>
    <x v="0"/>
  </r>
  <r>
    <s v="GBC Standard Recycled Report Covers, Clear Plastic Sheets"/>
    <n v="-27.165600000000001"/>
    <x v="0"/>
  </r>
  <r>
    <s v="GBC Standard Therm-A-Bind Covers"/>
    <n v="8.4728000000000065"/>
    <x v="0"/>
  </r>
  <r>
    <s v="GBC Therma-A-Bind 250T Electric Binding System"/>
    <n v="413.24639999999999"/>
    <x v="1"/>
  </r>
  <r>
    <s v="GBC Twin Loop Wire Binding Elements"/>
    <n v="259.584"/>
    <x v="1"/>
  </r>
  <r>
    <s v="GBC Twin Loop Wire Binding Elements, 9/16&quot; Spine, Black"/>
    <n v="-2.2830000000000048"/>
    <x v="0"/>
  </r>
  <r>
    <s v="GBC VeloBind Cover Sets"/>
    <n v="18.527999999999992"/>
    <x v="0"/>
  </r>
  <r>
    <s v="GBC VeloBinder Electric Binding Machine"/>
    <n v="-411.33199999999999"/>
    <x v="0"/>
  </r>
  <r>
    <s v="GBC VeloBinder Manual Binding System"/>
    <n v="280.72200000000009"/>
    <x v="1"/>
  </r>
  <r>
    <s v="GBC VeloBinder Strips"/>
    <n v="-23.808"/>
    <x v="0"/>
  </r>
  <r>
    <s v="GBC Velobind Prepunched Cover Sets, Regency Series"/>
    <n v="-9.2450000000000045"/>
    <x v="0"/>
  </r>
  <r>
    <s v="GBC White Gloss Covers, Plain Front"/>
    <n v="31.421600000000002"/>
    <x v="0"/>
  </r>
  <r>
    <s v="GBC Wire Binding Combs"/>
    <n v="41.566800000000001"/>
    <x v="0"/>
  </r>
  <r>
    <s v="GBC Wire Binding Strips"/>
    <n v="-18.409199999999998"/>
    <x v="0"/>
  </r>
  <r>
    <s v="GE 2-Jack Phone Line Splitter"/>
    <n v="94.755400000000009"/>
    <x v="0"/>
  </r>
  <r>
    <s v="GE 30522EE2"/>
    <n v="336.37099999999998"/>
    <x v="1"/>
  </r>
  <r>
    <s v="GE 30524EE4"/>
    <n v="838.83719999999994"/>
    <x v="2"/>
  </r>
  <r>
    <s v="GE 4 Foot Flourescent Tube, 40 Watt"/>
    <n v="42.243600000000001"/>
    <x v="0"/>
  </r>
  <r>
    <s v="GE 48&quot; Fluorescent Tube, Cool White Energy Saver, 34 Watts, 30/Box"/>
    <n v="1260.221"/>
    <x v="2"/>
  </r>
  <r>
    <s v="GE DSL Phone Line Filter"/>
    <n v="69.982499999999987"/>
    <x v="0"/>
  </r>
  <r>
    <s v="GE General Purpose, Extra Long Life, Showcase &amp; Floodlight Incandescent Bulbs"/>
    <n v="14.55"/>
    <x v="0"/>
  </r>
  <r>
    <s v="GE General Use Halogen Bulbs, 100 Watts, 1 Bulb per Pack"/>
    <n v="3.1410000000000018"/>
    <x v="0"/>
  </r>
  <r>
    <s v="Gear Head AU3700S Headset"/>
    <n v="-11.950799999999999"/>
    <x v="0"/>
  </r>
  <r>
    <s v="Geemarc AmpliPOWER60"/>
    <n v="384.19200000000001"/>
    <x v="1"/>
  </r>
  <r>
    <s v="Geographics Note Cards, Blank, White, 8 1/2&quot; x 11&quot;"/>
    <n v="29.541599999999999"/>
    <x v="0"/>
  </r>
  <r>
    <s v="Global Adaptabilites Bookcase, Cherry/Storm Gray Finish"/>
    <n v="206.87039999999999"/>
    <x v="1"/>
  </r>
  <r>
    <s v="Global Adaptabilities Conference Tables"/>
    <n v="354.03480000000008"/>
    <x v="1"/>
  </r>
  <r>
    <s v="Global Airflow Leather Mesh Back Chair, Black"/>
    <n v="573.72400000000005"/>
    <x v="2"/>
  </r>
  <r>
    <s v="Global Armless Task Chair, Royal Blue"/>
    <n v="-20.7332"/>
    <x v="0"/>
  </r>
  <r>
    <s v="Global Chrome Stack Chair"/>
    <n v="15.0832"/>
    <x v="0"/>
  </r>
  <r>
    <s v="Global Comet Stacking Arm Chair"/>
    <n v="697.14149999999995"/>
    <x v="2"/>
  </r>
  <r>
    <s v="Global Comet Stacking Armless Chair"/>
    <n v="514.36599999999999"/>
    <x v="2"/>
  </r>
  <r>
    <s v="Global Commerce Series High-Back Swivel/Tilt Chairs"/>
    <n v="926.18499999999995"/>
    <x v="2"/>
  </r>
  <r>
    <s v="Global Commerce Series Low-Back Swivel/Tilt Chairs"/>
    <n v="41.116799999999998"/>
    <x v="0"/>
  </r>
  <r>
    <s v="Global Deluxe High-Back Manager's Chair"/>
    <n v="1558.5909999999999"/>
    <x v="2"/>
  </r>
  <r>
    <s v="Global Deluxe High-Back Office Chair in Storm"/>
    <n v="-149.589"/>
    <x v="0"/>
  </r>
  <r>
    <s v="Global Deluxe Office Fabric Chairs"/>
    <n v="229.3922"/>
    <x v="1"/>
  </r>
  <r>
    <s v="Global Deluxe Stacking Chair, Gray"/>
    <n v="76.979799999999997"/>
    <x v="0"/>
  </r>
  <r>
    <s v="Global Deluxe Steno Chair"/>
    <n v="-216.31379999999999"/>
    <x v="0"/>
  </r>
  <r>
    <s v="Global Enterprise Series Seating High-Back Swivel/Tilt Chairs"/>
    <n v="-460.666"/>
    <x v="0"/>
  </r>
  <r>
    <s v="Global Enterprise Series Seating Low-Back Swivel/Tilt Chairs"/>
    <n v="25.898"/>
    <x v="0"/>
  </r>
  <r>
    <s v="Global Ergonomic Managers Chair"/>
    <n v="785.45320000000004"/>
    <x v="2"/>
  </r>
  <r>
    <s v="Global Executive Mid-Back Manager's Chair"/>
    <n v="750.72839999999997"/>
    <x v="2"/>
  </r>
  <r>
    <s v="Global Fabric Manager's Chair, Dark Gray"/>
    <n v="499.851"/>
    <x v="1"/>
  </r>
  <r>
    <s v="Global Geo Office Task Chair, Gray"/>
    <n v="-166.00899999999999"/>
    <x v="0"/>
  </r>
  <r>
    <s v="Global High-Back Leather Tilter, Burgundy"/>
    <n v="-474.74139999999989"/>
    <x v="0"/>
  </r>
  <r>
    <s v="Global Highback Leather Tilter in Burgundy"/>
    <n v="49.134599999999992"/>
    <x v="0"/>
  </r>
  <r>
    <s v="Global Italian Leather Office Chair"/>
    <n v="204.3288"/>
    <x v="1"/>
  </r>
  <r>
    <s v="Global Leather &amp; Oak Executive Chair, Burgundy"/>
    <n v="-114.6764"/>
    <x v="0"/>
  </r>
  <r>
    <s v="Global Leather Executive Chair"/>
    <n v="701.9799999999999"/>
    <x v="2"/>
  </r>
  <r>
    <s v="Global Leather Highback Executive Chair with Pneumatic Height Adjustment, Black"/>
    <n v="267.30340000000001"/>
    <x v="1"/>
  </r>
  <r>
    <s v="Global Leather Task Chair, Black"/>
    <n v="63.892899999999997"/>
    <x v="0"/>
  </r>
  <r>
    <s v="Global Leather and Oak Executive Chair, Black"/>
    <n v="854.78320000000008"/>
    <x v="2"/>
  </r>
  <r>
    <s v="Global Low Back Tilter Chair"/>
    <n v="-246.3912"/>
    <x v="0"/>
  </r>
  <r>
    <s v="Global Manager's Adjustable Task Chair, Storm"/>
    <n v="493.70460000000003"/>
    <x v="1"/>
  </r>
  <r>
    <s v="Global Push Button Manager's Chair, Indigo"/>
    <n v="283.74740000000003"/>
    <x v="1"/>
  </r>
  <r>
    <s v="Global Stack Chair with Arms, Black"/>
    <n v="125.0166"/>
    <x v="1"/>
  </r>
  <r>
    <s v="Global Stack Chair without Arms, Black"/>
    <n v="44.165999999999997"/>
    <x v="0"/>
  </r>
  <r>
    <s v="Global Super Steno Chair"/>
    <n v="-1.7763568394002501E-15"/>
    <x v="0"/>
  </r>
  <r>
    <s v="Global Task Chair, Black"/>
    <n v="-80.406199999999998"/>
    <x v="0"/>
  </r>
  <r>
    <s v="Global Troy Executive Leather Low-Back Tilter"/>
    <n v="951.86199999999997"/>
    <x v="2"/>
  </r>
  <r>
    <s v="Global Value Mid-Back Manager's Chair, Gray"/>
    <n v="197.89250000000001"/>
    <x v="1"/>
  </r>
  <r>
    <s v="Global Value Steno Chair, Gray"/>
    <n v="245.99700000000001"/>
    <x v="1"/>
  </r>
  <r>
    <s v="Global Wood Trimmed Manager's Task Chair, Khaki"/>
    <n v="-503.11939999999998"/>
    <x v="0"/>
  </r>
  <r>
    <s v="Globe Weis Peel &amp; Seel First Class Envelopes"/>
    <n v="164.86199999999999"/>
    <x v="1"/>
  </r>
  <r>
    <s v="Google Nexus 5"/>
    <n v="710.96050000000014"/>
    <x v="2"/>
  </r>
  <r>
    <s v="Gould Plastics 18-Pocket Panel Bin, 34w x 5-1/4d x 20-1/2h"/>
    <n v="-172.94120000000001"/>
    <x v="0"/>
  </r>
  <r>
    <s v="Gould Plastics 9-Pocket Panel Bin, 18-3/8w x 5-1/4d x 20-1/2h, Black"/>
    <n v="-63.587999999999987"/>
    <x v="0"/>
  </r>
  <r>
    <s v="Grandstream GXP1160 VoIP phone"/>
    <n v="157.7056"/>
    <x v="1"/>
  </r>
  <r>
    <s v="Grandstream GXP2100 Mainstream Business Phone"/>
    <n v="45.894000000000013"/>
    <x v="0"/>
  </r>
  <r>
    <s v="Great White Multi-Use Recycled Paper (20Lb. and 84 Bright)"/>
    <n v="64.584000000000003"/>
    <x v="0"/>
  </r>
  <r>
    <s v="Green Bar Computer Printout Paper"/>
    <n v="380.87279999999998"/>
    <x v="1"/>
  </r>
  <r>
    <s v="Green Canvas Binder for 8-1/2&quot; x 14&quot; Sheets"/>
    <n v="162.63999999999999"/>
    <x v="1"/>
  </r>
  <r>
    <s v="Griffin GC17055 Auxiliary Audio Cable"/>
    <n v="46.054400000000001"/>
    <x v="0"/>
  </r>
  <r>
    <s v="Griffin GC36547 PowerJolt SE Lightning Charger"/>
    <n v="17.992000000000001"/>
    <x v="0"/>
  </r>
  <r>
    <s v="Grip Seal Envelopes"/>
    <n v="2.3868"/>
    <x v="0"/>
  </r>
  <r>
    <s v="GuestStacker Chair with Chrome Finish Legs"/>
    <n v="773.2607999999999"/>
    <x v="2"/>
  </r>
  <r>
    <s v="HON 5400 Series Task Chairs for Big and Tall"/>
    <n v="5.6843418860808009E-14"/>
    <x v="0"/>
  </r>
  <r>
    <s v="HP Designjet T520 Inkjet Large Format Printer - 24&quot; Color"/>
    <n v="4094.9766"/>
    <x v="2"/>
  </r>
  <r>
    <s v="HP Office Paper (20Lb. and 87 Bright)"/>
    <n v="38.209600000000002"/>
    <x v="0"/>
  </r>
  <r>
    <s v="HP Office Recycled Paper (20Lb. and 87 Bright)"/>
    <n v="50.343799999999987"/>
    <x v="0"/>
  </r>
  <r>
    <s v="HP Officejet Pro 8600 e-All-In-One Printer, Copier, Scanner, Fax"/>
    <n v="47.9968"/>
    <x v="0"/>
  </r>
  <r>
    <s v="HP Standard 104 key PS/2 Keyboard"/>
    <n v="58"/>
    <x v="0"/>
  </r>
  <r>
    <s v="HTC One"/>
    <n v="125.98739999999999"/>
    <x v="1"/>
  </r>
  <r>
    <s v="HTC One Mini"/>
    <n v="317.4948"/>
    <x v="1"/>
  </r>
  <r>
    <s v="Hammermill Color Copier Paper (28Lb. and 96 Bright)"/>
    <n v="13.486499999999999"/>
    <x v="0"/>
  </r>
  <r>
    <s v="Hammermill CopyPlus Copy Paper (20Lb. and 84 Bright)"/>
    <n v="15.089399999999999"/>
    <x v="0"/>
  </r>
  <r>
    <s v="Hand-Finished Solid Wood Document Frame"/>
    <n v="68.460000000000008"/>
    <x v="0"/>
  </r>
  <r>
    <s v="Hanging Personal Folder File"/>
    <n v="51.025000000000013"/>
    <x v="0"/>
  </r>
  <r>
    <s v="Harbour Creations 67200 Series Stacking Chairs"/>
    <n v="254.82440000000011"/>
    <x v="1"/>
  </r>
  <r>
    <s v="Harbour Creations Steel Folding Chair"/>
    <n v="336.375"/>
    <x v="1"/>
  </r>
  <r>
    <s v="Harmony Air Purifier"/>
    <n v="374.22"/>
    <x v="1"/>
  </r>
  <r>
    <s v="Harmony HEPA Quiet Air Purifiers"/>
    <n v="37.44"/>
    <x v="0"/>
  </r>
  <r>
    <s v="Heavy-Duty E-Z-D Binders"/>
    <n v="9.0552999999999972"/>
    <x v="0"/>
  </r>
  <r>
    <s v="Hewlett Packard 310 Color Digital Copier"/>
    <n v="839.97199999999998"/>
    <x v="2"/>
  </r>
  <r>
    <s v="Hewlett Packard 610 Color Digital Copier / Printer"/>
    <n v="3124.9375"/>
    <x v="2"/>
  </r>
  <r>
    <s v="Hewlett Packard LaserJet 3310 Copier"/>
    <n v="6983.8836000000001"/>
    <x v="2"/>
  </r>
  <r>
    <s v="Hewlett-Packard 300S Scientific Calculator"/>
    <n v="60.305999999999997"/>
    <x v="0"/>
  </r>
  <r>
    <s v="Hewlett-Packard Deskjet 3050a All-in-One Color Inkjet Printer"/>
    <n v="1459.2"/>
    <x v="2"/>
  </r>
  <r>
    <s v="Hewlett-Packard Deskjet 5550 Printer"/>
    <n v="49.761000000000003"/>
    <x v="0"/>
  </r>
  <r>
    <s v="Hewlett-Packard Deskjet 6540 Color Inkjet Printer"/>
    <n v="139.62100000000001"/>
    <x v="1"/>
  </r>
  <r>
    <s v="Hewlett-Packard Deskjet D4360 Printer"/>
    <n v="139.99"/>
    <x v="1"/>
  </r>
  <r>
    <s v="Hewlett-Packard Deskjet F4180 All-in-One Color Ink-jet - Printer / copier / scanner"/>
    <n v="-71.395799999999994"/>
    <x v="0"/>
  </r>
  <r>
    <s v="Hewlett-Packard Desktjet 6988DT Refurbished Printer"/>
    <n v="1668.2049999999999"/>
    <x v="2"/>
  </r>
  <r>
    <s v="High Speed Automatic Electric Letter Opener"/>
    <n v="-262.00479999999999"/>
    <x v="0"/>
  </r>
  <r>
    <s v="High-Back Leather Manager's Chair"/>
    <n v="-197.5848"/>
    <x v="0"/>
  </r>
  <r>
    <s v="Holmes 99% HEPA Air Purifier"/>
    <n v="86.8566"/>
    <x v="0"/>
  </r>
  <r>
    <s v="Holmes Cool Mist Humidifier for the Whole House with 8-Gallon Output per Day, Extended Life Filter"/>
    <n v="48.755000000000003"/>
    <x v="0"/>
  </r>
  <r>
    <s v="Holmes HEPA Air Purifier"/>
    <n v="41.382000000000012"/>
    <x v="0"/>
  </r>
  <r>
    <s v="Holmes Harmony HEPA Air Purifier for 17 x 20 Room"/>
    <n v="290.30160000000001"/>
    <x v="1"/>
  </r>
  <r>
    <s v="Holmes Odor Grabber"/>
    <n v="67.774000000000001"/>
    <x v="0"/>
  </r>
  <r>
    <s v="Holmes Replacement Filter for HEPA Air Cleaner, Large Room"/>
    <n v="47.984399999999987"/>
    <x v="0"/>
  </r>
  <r>
    <s v="Holmes Replacement Filter for HEPA Air Cleaner, Medium Room"/>
    <n v="87.694199999999995"/>
    <x v="0"/>
  </r>
  <r>
    <s v="Holmes Replacement Filter for HEPA Air Cleaner, Very Large Room, HEPA Filter"/>
    <n v="381.20740000000001"/>
    <x v="1"/>
  </r>
  <r>
    <s v="Holmes Visible Mist Ultrasonic Humidifier with 2.3-Gallon Output per Day, Replacement Filter"/>
    <n v="10.188000000000001"/>
    <x v="0"/>
  </r>
  <r>
    <s v="Home/Office Personal File Carts"/>
    <n v="198.13200000000001"/>
    <x v="1"/>
  </r>
  <r>
    <s v="Hon 2090 “Pillow Soft” Series Mid Back Swivel/Tilt Chairs"/>
    <n v="-989.04959999999994"/>
    <x v="0"/>
  </r>
  <r>
    <s v="Hon 2111 Invitation Series Corner Table"/>
    <n v="-401.99040000000002"/>
    <x v="0"/>
  </r>
  <r>
    <s v="Hon 2111 Invitation Series Straight Table"/>
    <n v="-115.3074"/>
    <x v="0"/>
  </r>
  <r>
    <s v="Hon 30&quot; x 60&quot; Table with Locking Drawer"/>
    <n v="-177.35120000000001"/>
    <x v="0"/>
  </r>
  <r>
    <s v="Hon 4-Shelf Metal Bookcases"/>
    <n v="-191.86200000000011"/>
    <x v="0"/>
  </r>
  <r>
    <s v="Hon 4060 Series Tables"/>
    <n v="96.285600000000002"/>
    <x v="0"/>
  </r>
  <r>
    <s v="Hon 4070 Series Pagoda Armless Upholstered Stacking Chairs"/>
    <n v="1388.6348"/>
    <x v="2"/>
  </r>
  <r>
    <s v="Hon 4070 Series Pagoda Round Back Stacking Chairs"/>
    <n v="1052.8144"/>
    <x v="2"/>
  </r>
  <r>
    <s v="Hon 4700 Series Mobuis Mid-Back Task Chairs with Adjustable Arms"/>
    <n v="832.99320000000012"/>
    <x v="2"/>
  </r>
  <r>
    <s v="Hon 5100 Series Wood Tables"/>
    <n v="-238.6036"/>
    <x v="0"/>
  </r>
  <r>
    <s v="Hon 61000 Series Interactive Training Tables"/>
    <n v="-148.39619999999999"/>
    <x v="0"/>
  </r>
  <r>
    <s v="Hon 94000 Series Round Tables"/>
    <n v="-681.21399999999994"/>
    <x v="0"/>
  </r>
  <r>
    <s v="Hon Comfortask Task/Swivel Chairs"/>
    <n v="-36.473599999999998"/>
    <x v="0"/>
  </r>
  <r>
    <s v="Hon Deluxe Fabric Upholstered Stacking Chairs"/>
    <n v="-48.795999999999999"/>
    <x v="0"/>
  </r>
  <r>
    <s v="Hon Deluxe Fabric Upholstered Stacking Chairs, Rounded Back"/>
    <n v="1927.442"/>
    <x v="2"/>
  </r>
  <r>
    <s v="Hon Deluxe Fabric Upholstered Stacking Chairs, Squared Back"/>
    <n v="73.194000000000003"/>
    <x v="0"/>
  </r>
  <r>
    <s v="Hon Every-Day Chair Series Swivel Task Chairs"/>
    <n v="12.098000000000001"/>
    <x v="0"/>
  </r>
  <r>
    <s v="Hon Every-Day Series Multi-Task Chairs"/>
    <n v="281.97000000000003"/>
    <x v="1"/>
  </r>
  <r>
    <s v="Hon GuestStacker Chair"/>
    <n v="1233.0848000000001"/>
    <x v="2"/>
  </r>
  <r>
    <s v="Hon Metal Bookcases, Black"/>
    <n v="-26.97239999999999"/>
    <x v="0"/>
  </r>
  <r>
    <s v="Hon Metal Bookcases, Gray"/>
    <n v="229.9752"/>
    <x v="1"/>
  </r>
  <r>
    <s v="Hon Metal Bookcases, Putty"/>
    <n v="362.70780000000008"/>
    <x v="1"/>
  </r>
  <r>
    <s v="Hon Mobius Operator's Chair"/>
    <n v="499.33940000000001"/>
    <x v="1"/>
  </r>
  <r>
    <s v="Hon Multipurpose Stacking Arm Chairs"/>
    <n v="814.41599999999994"/>
    <x v="2"/>
  </r>
  <r>
    <s v="Hon Non-Folding Utility Tables"/>
    <n v="541.654"/>
    <x v="2"/>
  </r>
  <r>
    <s v="Hon Olson Stacker Chairs"/>
    <n v="1292.1264000000001"/>
    <x v="2"/>
  </r>
  <r>
    <s v="Hon Olson Stacker Stools"/>
    <n v="833.59519999999998"/>
    <x v="2"/>
  </r>
  <r>
    <s v="Hon Pagoda Stacking Chairs"/>
    <n v="1540.704"/>
    <x v="2"/>
  </r>
  <r>
    <s v="Hon Practical Foundations 30 x 60 Training Table, Light Gray/Charcoal"/>
    <n v="430.06950000000001"/>
    <x v="1"/>
  </r>
  <r>
    <s v="Hon Racetrack Conference Tables"/>
    <n v="-598.52279999999996"/>
    <x v="0"/>
  </r>
  <r>
    <s v="Hon Rectangular Conference Tables"/>
    <n v="-295.815"/>
    <x v="0"/>
  </r>
  <r>
    <s v="Hon Valutask Swivel Chairs"/>
    <n v="139.35239999999999"/>
    <x v="1"/>
  </r>
  <r>
    <s v="Honeywell Enviracaire Portable Air Cleaner for up to 8 x 10 Room"/>
    <n v="-177.22319999999999"/>
    <x v="0"/>
  </r>
  <r>
    <s v="Honeywell Enviracaire Portable HEPA Air Cleaner for 16' x 20' Room"/>
    <n v="1503.5201999999999"/>
    <x v="2"/>
  </r>
  <r>
    <s v="Honeywell Enviracaire Portable HEPA Air Cleaner for 17' x 22' Room"/>
    <n v="3247.02"/>
    <x v="2"/>
  </r>
  <r>
    <s v="Honeywell Enviracaire Portable HEPA Air Cleaner for up to 10 x 16 Room"/>
    <n v="417.02440000000001"/>
    <x v="1"/>
  </r>
  <r>
    <s v="Honeywell Quietcare HEPA Air Cleaner"/>
    <n v="549.76350000000002"/>
    <x v="2"/>
  </r>
  <r>
    <s v="Hoover Commercial Lightweight Upright Vacuum"/>
    <n v="-2.5055999999999998"/>
    <x v="0"/>
  </r>
  <r>
    <s v="Hoover Commercial Lightweight Upright Vacuum with E-Z Empty Dirt Cup"/>
    <n v="-9.3032000000000039"/>
    <x v="0"/>
  </r>
  <r>
    <s v="Hoover Commercial Soft Guard Upright Vacuum And Disposable Filtration Bags"/>
    <n v="-10.411799999999999"/>
    <x v="0"/>
  </r>
  <r>
    <s v="Hoover Commercial SteamVac"/>
    <n v="35.308"/>
    <x v="0"/>
  </r>
  <r>
    <s v="Hoover Portapower Portable Vacuum"/>
    <n v="1.343999999999999"/>
    <x v="0"/>
  </r>
  <r>
    <s v="Hoover Replacement Belt for Commercial Guardsman Heavy-Duty Upright Vacuum"/>
    <n v="0.44399999999999989"/>
    <x v="0"/>
  </r>
  <r>
    <s v="Hoover Replacement Belts For Soft Guard &amp; Commercial Ltweight Upright Vacs, 2/Pk"/>
    <n v="3.476"/>
    <x v="0"/>
  </r>
  <r>
    <s v="Hoover Shoulder Vac Commercial Portable Vacuum"/>
    <n v="715.64"/>
    <x v="2"/>
  </r>
  <r>
    <s v="Hoover Upright Vacuum With Dirt Cup"/>
    <n v="460.35269999999991"/>
    <x v="1"/>
  </r>
  <r>
    <s v="Hoover WindTunnel Plus Canister Vacuum"/>
    <n v="697.44"/>
    <x v="2"/>
  </r>
  <r>
    <s v="Hot File 7-Pocket, Floor Stand"/>
    <n v="2016.711"/>
    <x v="2"/>
  </r>
  <r>
    <s v="Howard Miller 11-1/2&quot; Diameter Brentwood Wall Clock"/>
    <n v="256.19220000000001"/>
    <x v="1"/>
  </r>
  <r>
    <s v="Howard Miller 11-1/2&quot; Diameter Grantwood Wall Clock"/>
    <n v="101.7868"/>
    <x v="1"/>
  </r>
  <r>
    <s v="Howard Miller 11-1/2&quot; Diameter Ridgewood Wall Clock"/>
    <n v="448.76159999999987"/>
    <x v="1"/>
  </r>
  <r>
    <s v="Howard Miller 12&quot; Round Wall Clock"/>
    <n v="127.2996"/>
    <x v="1"/>
  </r>
  <r>
    <s v="Howard Miller 12-3/4 Diameter Accuwave DS  Wall Clock"/>
    <n v="147.93719999999999"/>
    <x v="1"/>
  </r>
  <r>
    <s v="Howard Miller 13&quot; Diameter Goldtone Round Wall Clock"/>
    <n v="294.31380000000001"/>
    <x v="1"/>
  </r>
  <r>
    <s v="Howard Miller 13&quot; Diameter Pewter Finish Round Wall Clock"/>
    <n v="340.51420000000002"/>
    <x v="1"/>
  </r>
  <r>
    <s v="Howard Miller 13-1/2&quot; Diameter Rosebrook Wall Clock"/>
    <n v="247.572"/>
    <x v="1"/>
  </r>
  <r>
    <s v="Howard Miller 13-3/4&quot; Diameter Brushed Chrome Round Wall Clock"/>
    <n v="201.82499999999999"/>
    <x v="1"/>
  </r>
  <r>
    <s v="Howard Miller 14-1/2&quot; Diameter Chrome Round Wall Clock"/>
    <n v="375.96719999999999"/>
    <x v="1"/>
  </r>
  <r>
    <s v="Howard Miller 16&quot; Diameter Gallery Wall Clock"/>
    <n v="107.4192"/>
    <x v="1"/>
  </r>
  <r>
    <s v="Howard Miller Distant Time Traveler Alarm Clock"/>
    <n v="192.21420000000001"/>
    <x v="1"/>
  </r>
  <r>
    <s v="Hunt BOSTON Model 1606 High-Volume Electric Pencil Sharpener, Beige"/>
    <n v="111.30240000000001"/>
    <x v="1"/>
  </r>
  <r>
    <s v="Hunt BOSTON Vista Battery-Operated Pencil Sharpener, Black"/>
    <n v="15.8576"/>
    <x v="0"/>
  </r>
  <r>
    <s v="Hunt Boston Vacuum Mount KS Pencil Sharpener"/>
    <n v="153.95599999999999"/>
    <x v="1"/>
  </r>
  <r>
    <s v="Hunt PowerHouse Electric Pencil Sharpener, Blue"/>
    <n v="448.16399999999999"/>
    <x v="1"/>
  </r>
  <r>
    <s v="Hypercom P1300 Pinpad"/>
    <n v="275.31000000000012"/>
    <x v="1"/>
  </r>
  <r>
    <s v="I Need's 3d Hello Kitty Hybrid Silicone Case Cover for HTC One X 4g with 3d Hello Kitty Stylus Pen Green/pink"/>
    <n v="95.201600000000013"/>
    <x v="0"/>
  </r>
  <r>
    <s v="I.R.I.S IRISCard Anywhere 5 Card Scanner"/>
    <n v="152.0883"/>
    <x v="1"/>
  </r>
  <r>
    <s v="IBM Multi-Purpose Copy Paper, 8 1/2 x 11&quot;, Case"/>
    <n v="185.88"/>
    <x v="1"/>
  </r>
  <r>
    <s v="Ibico Covers for Plastic or Wire Binding Elements"/>
    <n v="57.5"/>
    <x v="0"/>
  </r>
  <r>
    <s v="Ibico EB-19 Dual Function Manual Binding System"/>
    <n v="1086.3771999999999"/>
    <x v="2"/>
  </r>
  <r>
    <s v="Ibico EPK-21 Electric Binding System"/>
    <n v="3345.2822999999999"/>
    <x v="2"/>
  </r>
  <r>
    <s v="Ibico Hi-Tech Manual Binding System"/>
    <n v="-304.99"/>
    <x v="0"/>
  </r>
  <r>
    <s v="Ibico Ibimaster 300 Manual Binding System"/>
    <n v="2318.337"/>
    <x v="2"/>
  </r>
  <r>
    <s v="Ibico Laser Imprintable Binding System Covers"/>
    <n v="138.33600000000001"/>
    <x v="1"/>
  </r>
  <r>
    <s v="Ibico Plastic Spiral Binding Combs"/>
    <n v="328.928"/>
    <x v="1"/>
  </r>
  <r>
    <s v="Ibico Plastic and Wire Spiral Binding Combs"/>
    <n v="21.5808"/>
    <x v="0"/>
  </r>
  <r>
    <s v="Ibico Presentation Index for Binding Systems"/>
    <n v="15.084199999999999"/>
    <x v="0"/>
  </r>
  <r>
    <s v="Ibico Recycled Grain-Textured Covers"/>
    <n v="3.4539999999999971"/>
    <x v="0"/>
  </r>
  <r>
    <s v="Ibico Recycled Linen-Style Covers"/>
    <n v="262.48320000000001"/>
    <x v="1"/>
  </r>
  <r>
    <s v="Ibico Standard Transparent Covers"/>
    <n v="104.8128"/>
    <x v="1"/>
  </r>
  <r>
    <s v="Iceberg Mobile Mega Data/Printer Cart "/>
    <n v="1388.6081999999999"/>
    <x v="2"/>
  </r>
  <r>
    <s v="Iceberg Nesting Folding Chair, 19w x 6d x 43h"/>
    <n v="253.83920000000001"/>
    <x v="1"/>
  </r>
  <r>
    <s v="Iceberg OfficeWorks 42&quot; Round Tables"/>
    <n v="-392.54800000000012"/>
    <x v="0"/>
  </r>
  <r>
    <s v="Ideal Clamps"/>
    <n v="24.863700000000001"/>
    <x v="0"/>
  </r>
  <r>
    <s v="Imation Bio 2GB USB Flash Drive Imation Corp"/>
    <n v="881.52959999999996"/>
    <x v="2"/>
  </r>
  <r>
    <s v="Imation Bio 8GB USB Flash Drive Imation Corp"/>
    <n v="398.976"/>
    <x v="1"/>
  </r>
  <r>
    <s v="Imation 16GB Mini TravelDrive USB 2.0 Flash Drive"/>
    <n v="342.56420000000003"/>
    <x v="1"/>
  </r>
  <r>
    <s v="Imation 30456 USB Flash Drive 8GB"/>
    <n v="8.5560000000000009"/>
    <x v="0"/>
  </r>
  <r>
    <s v="Imation 32GB Pocket Pro USB 3.0 Flash Drive - 32 GB - Black - 1 P ..."/>
    <n v="143.76"/>
    <x v="1"/>
  </r>
  <r>
    <s v="Imation 8GB Mini TravelDrive USB 2.0 Flash Drive"/>
    <n v="8.7551000000000005"/>
    <x v="0"/>
  </r>
  <r>
    <s v="Imation 8gb Micro Traveldrive Usb 2.0 Flash Drive"/>
    <n v="23.25"/>
    <x v="0"/>
  </r>
  <r>
    <s v="Imation Clip USB flash drive - 8 GB"/>
    <n v="1.879999999999997"/>
    <x v="0"/>
  </r>
  <r>
    <s v="Imation Secure+ Hardware Encrypted USB 2.0 Flash Drive; 16GB"/>
    <n v="408.74400000000003"/>
    <x v="1"/>
  </r>
  <r>
    <s v="Imation Secure Drive + Hardware Encrypted USB flash drive - 16 GB"/>
    <n v="196.0284"/>
    <x v="1"/>
  </r>
  <r>
    <s v="Imation Swivel Flash Drive USB flash drive - 8 GB"/>
    <n v="17.6235"/>
    <x v="0"/>
  </r>
  <r>
    <s v="Imation USB 2.0 Swivel Flash Drive USB flash drive - 4 GB - Pink"/>
    <n v="8.9082000000000008"/>
    <x v="0"/>
  </r>
  <r>
    <s v="Important Message Pads, 50 4-1/4 x 5-1/2 Forms per Pad"/>
    <n v="22.47"/>
    <x v="0"/>
  </r>
  <r>
    <s v="Ink Jet Note and Greeting Cards, 8-1/2&quot; x 5-1/2&quot; Card Size"/>
    <n v="48.556800000000003"/>
    <x v="0"/>
  </r>
  <r>
    <s v="Innergie mMini Combo Duo USB Travel Charging Kit"/>
    <n v="302.33280000000002"/>
    <x v="1"/>
  </r>
  <r>
    <s v="Insertable Tab Indexes For Data Binders"/>
    <n v="-4.8335999999999997"/>
    <x v="0"/>
  </r>
  <r>
    <s v="Insertable Tab Post Binder Dividers"/>
    <n v="-39.699000000000012"/>
    <x v="0"/>
  </r>
  <r>
    <s v="Inter-Office Recycled Envelopes, Brown Kraft, Button-String,10&quot; x 13&quot; , 100/Box"/>
    <n v="81.325999999999993"/>
    <x v="0"/>
  </r>
  <r>
    <s v="Iris 3-Drawer Stacking Bin, Black"/>
    <n v="-43.4512"/>
    <x v="0"/>
  </r>
  <r>
    <s v="Iris Project Case"/>
    <n v="47.88"/>
    <x v="0"/>
  </r>
  <r>
    <s v="It's Hot Message Books with Stickers, 2 3/4&quot; x 5&quot;"/>
    <n v="59.57"/>
    <x v="0"/>
  </r>
  <r>
    <s v="JBL Micro Wireless Portable Bluetooth Speaker"/>
    <n v="14.9975"/>
    <x v="0"/>
  </r>
  <r>
    <s v="JM Magazine Binder"/>
    <n v="50.190399999999997"/>
    <x v="0"/>
  </r>
  <r>
    <s v="Jabra BIZ 2300 Duo QD Duo Corded Headset"/>
    <n v="129.52979999999999"/>
    <x v="1"/>
  </r>
  <r>
    <s v="Jabra SPEAK 410"/>
    <n v="654.17039999999997"/>
    <x v="2"/>
  </r>
  <r>
    <s v="Jabra SPEAK 410 Multidevice Speakerphone"/>
    <n v="10.299500000000011"/>
    <x v="0"/>
  </r>
  <r>
    <s v="Jabra Supreme Plus Driver Edition Headset"/>
    <n v="259.17840000000001"/>
    <x v="1"/>
  </r>
  <r>
    <s v="Jackery Bar Premium Fast-charging Portable Charger"/>
    <n v="192.279"/>
    <x v="1"/>
  </r>
  <r>
    <s v="Jawbone JAMBOX Wireless Bluetooth Speaker"/>
    <n v="872.10480000000007"/>
    <x v="2"/>
  </r>
  <r>
    <s v="Jawbone MINI JAMBOX Wireless Bluetooth Speaker"/>
    <n v="-339.71039999999999"/>
    <x v="0"/>
  </r>
  <r>
    <s v="Jensen SMPS-640 - speaker phone"/>
    <n v="88.281599999999997"/>
    <x v="0"/>
  </r>
  <r>
    <s v="Jet-Pak Recycled Peel 'N' Seal Padded Mailers"/>
    <n v="177.65549999999999"/>
    <x v="1"/>
  </r>
  <r>
    <s v="Jiffy Padded Mailers with Self-Seal Closure"/>
    <n v="10.805400000000001"/>
    <x v="0"/>
  </r>
  <r>
    <s v="KI Adjustable-Height Table"/>
    <n v="-248.48220000000001"/>
    <x v="0"/>
  </r>
  <r>
    <s v="KI Conference Tables"/>
    <n v="-479.21640000000002"/>
    <x v="0"/>
  </r>
  <r>
    <s v="KLD Oscar II Style Snap-on Ultra Thin Side Flip Synthetic Leather Cover Case for HTC One HTC M7"/>
    <n v="36.644399999999997"/>
    <x v="0"/>
  </r>
  <r>
    <s v="Kensington 4 Outlet MasterPiece Compact Power Control Center"/>
    <n v="380.57760000000002"/>
    <x v="1"/>
  </r>
  <r>
    <s v="Kensington 6 Outlet Guardian Standard Surge Protector"/>
    <n v="110.592"/>
    <x v="1"/>
  </r>
  <r>
    <s v="Kensington 6 Outlet MasterPiece HOMEOFFICE Power Control Center"/>
    <n v="235.5264"/>
    <x v="1"/>
  </r>
  <r>
    <s v="Kensington 6 Outlet SmartSocket Surge Protector"/>
    <n v="-36.882000000000012"/>
    <x v="0"/>
  </r>
  <r>
    <s v="Kensington 7 Outlet MasterPiece HOMEOFFICE Power Control Center"/>
    <n v="563.81599999999992"/>
    <x v="2"/>
  </r>
  <r>
    <s v="Kensington 7 Outlet MasterPiece Power Center"/>
    <n v="229.5942"/>
    <x v="1"/>
  </r>
  <r>
    <s v="Kensington 7 Outlet MasterPiece Power Center with Fax/Phone Line Protection"/>
    <n v="311.22000000000003"/>
    <x v="1"/>
  </r>
  <r>
    <s v="Kensington Expert Mouse Optical USB Trackball for PC or Mac"/>
    <n v="360.96199999999999"/>
    <x v="1"/>
  </r>
  <r>
    <s v="Kensington K72356US Mouse-in-a-Box USB Desktop Mouse"/>
    <n v="106.176"/>
    <x v="1"/>
  </r>
  <r>
    <s v="Kensington Orbit Wireless Mobile Trackball for PC and Mac"/>
    <n v="357.54039999999998"/>
    <x v="1"/>
  </r>
  <r>
    <s v="Kensington SlimBlade Notebook Wireless Mouse with Nano Receiver "/>
    <n v="120.97580000000001"/>
    <x v="1"/>
  </r>
  <r>
    <s v="KeyTronic 6101 Series - Keyboard - Black"/>
    <n v="127.069"/>
    <x v="1"/>
  </r>
  <r>
    <s v="KeyTronic E03601U1 - Keyboard - Beige"/>
    <n v="58.32"/>
    <x v="0"/>
  </r>
  <r>
    <s v="KeyTronic KT400U2 - Keyboard - Black"/>
    <n v="24.672000000000001"/>
    <x v="0"/>
  </r>
  <r>
    <s v="KeyTronic KT800P2 - Keyboard - Black"/>
    <n v="1.2016"/>
    <x v="0"/>
  </r>
  <r>
    <s v="Kingston Digital DataTraveler 16GB USB 2.0"/>
    <n v="64.708500000000001"/>
    <x v="0"/>
  </r>
  <r>
    <s v="Kingston Digital DataTraveler 32GB USB 2.0"/>
    <n v="5.4239999999999986"/>
    <x v="0"/>
  </r>
  <r>
    <s v="Kingston Digital DataTraveler 64GB USB 2.0"/>
    <n v="16.214400000000001"/>
    <x v="0"/>
  </r>
  <r>
    <s v="Kingston Digital DataTraveler 8GB USB 2.0"/>
    <n v="-2.0230000000000001"/>
    <x v="0"/>
  </r>
  <r>
    <s v="Kleencut Forged Office Shears by Acme United Corporation"/>
    <n v="2.2879999999999998"/>
    <x v="0"/>
  </r>
  <r>
    <s v="Konftel 250 Conference phone - Charcoal black"/>
    <n v="324.69479999999999"/>
    <x v="1"/>
  </r>
  <r>
    <s v="Konica Minolta magicolor 1690MF Multifunction Printer"/>
    <n v="118.3704"/>
    <x v="1"/>
  </r>
  <r>
    <s v="LF Elite 3D Dazzle Designer Hard Case Cover, Lf Stylus Pen and Wiper For Apple Iphone 5c Mini Lite"/>
    <n v="41.856000000000002"/>
    <x v="0"/>
  </r>
  <r>
    <s v="LG Electronics Tone+ HBS-730 Bluetooth Headset"/>
    <n v="133.30240000000001"/>
    <x v="1"/>
  </r>
  <r>
    <s v="LG Exalt"/>
    <n v="-212.1464"/>
    <x v="0"/>
  </r>
  <r>
    <s v="LG G2"/>
    <n v="-374.99250000000001"/>
    <x v="0"/>
  </r>
  <r>
    <s v="LG G3"/>
    <n v="411.57900000000001"/>
    <x v="1"/>
  </r>
  <r>
    <s v="Laminate Occasional Tables"/>
    <n v="-206.5342"/>
    <x v="0"/>
  </r>
  <r>
    <s v="Large Capacity Hanging Post Binders"/>
    <n v="-19.460999999999999"/>
    <x v="0"/>
  </r>
  <r>
    <s v="Laser &amp; Ink Jet Business Envelopes"/>
    <n v="83.225999999999999"/>
    <x v="0"/>
  </r>
  <r>
    <s v="Leather Task Chair, Black"/>
    <n v="54.588000000000001"/>
    <x v="0"/>
  </r>
  <r>
    <s v="Lenovo 17-Key USB Numeric Keypad"/>
    <n v="22.433399999999999"/>
    <x v="0"/>
  </r>
  <r>
    <s v="Lesro Round Back Collection Coffee Table, End Table"/>
    <n v="-328.59"/>
    <x v="0"/>
  </r>
  <r>
    <s v="Lesro Sheffield Collection Coffee Table, End Table, Center Table, Corner Table"/>
    <n v="-12.13290000000001"/>
    <x v="0"/>
  </r>
  <r>
    <s v="Letter Size Cart"/>
    <n v="1252.8822"/>
    <x v="2"/>
  </r>
  <r>
    <s v="Letter Size File"/>
    <n v="59.55"/>
    <x v="0"/>
  </r>
  <r>
    <s v="Letter Slitter"/>
    <n v="0.3024"/>
    <x v="0"/>
  </r>
  <r>
    <s v="Letter or Legal Size Expandable Poly String Tie Envelopes"/>
    <n v="15.0024"/>
    <x v="0"/>
  </r>
  <r>
    <s v="Letter/Legal File Tote with Clear Snap-On Lid, Black Granite"/>
    <n v="52.034400000000012"/>
    <x v="0"/>
  </r>
  <r>
    <s v="Lexmark 20R1285 X6650 Wireless All-in-One Printer"/>
    <n v="218.4"/>
    <x v="1"/>
  </r>
  <r>
    <s v="Lexmark MX611dhe Monochrome Laser Printer"/>
    <n v="-4589.973"/>
    <x v="0"/>
  </r>
  <r>
    <s v="Lexmark MarkNet N8150 Wireless Print Server"/>
    <n v="-506.45699999999999"/>
    <x v="0"/>
  </r>
  <r>
    <s v="Lexmark S315 Color Inkjet Printer"/>
    <n v="34.996499999999997"/>
    <x v="0"/>
  </r>
  <r>
    <s v="Lexmark X 9575 Professional All-in-One Color Printer"/>
    <n v="190.08"/>
    <x v="1"/>
  </r>
  <r>
    <s v="Lifetime Advantage Folding Chairs, 4/Carton"/>
    <n v="972.63679999999999"/>
    <x v="2"/>
  </r>
  <r>
    <s v="Linden 10&quot; Round Wall Clock, Black"/>
    <n v="41.867199999999997"/>
    <x v="0"/>
  </r>
  <r>
    <s v="Linden 12&quot; Wall Clock With Oak Frame"/>
    <n v="30.582000000000001"/>
    <x v="0"/>
  </r>
  <r>
    <s v="Lock-Up Easel 'Spel-Binder'"/>
    <n v="39.371400000000001"/>
    <x v="0"/>
  </r>
  <r>
    <s v="Logitech 910-002974 M325 Wireless Mouse for Web Scrolling"/>
    <n v="536.22120000000007"/>
    <x v="2"/>
  </r>
  <r>
    <s v="Logitech B530 USB Headset - headset - Full size, Binaural"/>
    <n v="64.732499999999987"/>
    <x v="0"/>
  </r>
  <r>
    <s v="Logitech ClearChat Comfort/USB Headset H390"/>
    <n v="160.21629999999999"/>
    <x v="1"/>
  </r>
  <r>
    <s v="Logitech Desktop MK120 Mouse and keyboard Combo"/>
    <n v="42.536000000000001"/>
    <x v="0"/>
  </r>
  <r>
    <s v="Logitech G105 Gaming Keyboard"/>
    <n v="78.368400000000008"/>
    <x v="0"/>
  </r>
  <r>
    <s v="Logitech G13 Programmable Gameboard with LCD Display"/>
    <n v="43.194600000000001"/>
    <x v="0"/>
  </r>
  <r>
    <s v="Logitech G19 Programmable Gaming Keyboard"/>
    <n v="729.06119999999999"/>
    <x v="2"/>
  </r>
  <r>
    <s v="Logitech G35 7.1-Channel Surround Sound Headset"/>
    <n v="699.34619999999995"/>
    <x v="2"/>
  </r>
  <r>
    <s v="Logitech G430 Surround Sound Gaming Headset with Dolby 7.1 Technology"/>
    <n v="377.55279999999999"/>
    <x v="1"/>
  </r>
  <r>
    <s v="Logitech G500s Laser Gaming Mouse with Adjustable Weight Tuning"/>
    <n v="429.73860000000002"/>
    <x v="1"/>
  </r>
  <r>
    <s v="Logitech G600 MMO Gaming Mouse"/>
    <n v="540.73239999999998"/>
    <x v="2"/>
  </r>
  <r>
    <s v="Logitech G602 Wireless Gaming Mouse"/>
    <n v="515.13560000000007"/>
    <x v="2"/>
  </r>
  <r>
    <s v="Logitech G700s Rechargeable Gaming Mouse"/>
    <n v="889.91100000000006"/>
    <x v="2"/>
  </r>
  <r>
    <s v="Logitech Illuminated Ultrathin Keyboard with Backlighting"/>
    <n v="70.097700000000003"/>
    <x v="0"/>
  </r>
  <r>
    <s v="Logitech K350 2.4Ghz Wireless Keyboard"/>
    <n v="47.281499999999987"/>
    <x v="0"/>
  </r>
  <r>
    <s v="Logitech Keyboard K120"/>
    <n v="-19.602"/>
    <x v="0"/>
  </r>
  <r>
    <s v="Logitech M510 Wireless Mouse"/>
    <n v="52.386899999999997"/>
    <x v="0"/>
  </r>
  <r>
    <s v="Logitech Media Keyboard K200"/>
    <n v="50.385599999999997"/>
    <x v="0"/>
  </r>
  <r>
    <s v="Logitech Mobile Speakerphone P710e - speaker phone"/>
    <n v="241.61420000000001"/>
    <x v="1"/>
  </r>
  <r>
    <s v="Logitech Trackman Marble Mouse"/>
    <n v="286.70440000000002"/>
    <x v="1"/>
  </r>
  <r>
    <s v="Logitech Wireless Anywhere Mouse MX for PC and Mac"/>
    <n v="89.984999999999999"/>
    <x v="0"/>
  </r>
  <r>
    <s v="Logitech Wireless Gaming Headset G930"/>
    <n v="763.15229999999997"/>
    <x v="2"/>
  </r>
  <r>
    <s v="Logitech Wireless Headset H600 Over-The-Head Design"/>
    <n v="133.26900000000001"/>
    <x v="1"/>
  </r>
  <r>
    <s v="Logitech Wireless Headset h800"/>
    <n v="719.928"/>
    <x v="2"/>
  </r>
  <r>
    <s v="Logitech Wireless Marathon Mouse M705"/>
    <n v="554.88900000000001"/>
    <x v="2"/>
  </r>
  <r>
    <s v="Logitech Wireless Performance Mouse MX for PC and Mac"/>
    <n v="497.9502"/>
    <x v="1"/>
  </r>
  <r>
    <s v="Logitech Wireless Touch Keyboard K400"/>
    <n v="53.728499999999997"/>
    <x v="0"/>
  </r>
  <r>
    <s v="Logitech diNovo Edge Keyboard"/>
    <n v="1432.4427000000001"/>
    <x v="2"/>
  </r>
  <r>
    <s v="Logitech Gaming G510s - Keyboard"/>
    <n v="676.5204"/>
    <x v="2"/>
  </r>
  <r>
    <s v="Logitech Illuminated - Keyboard"/>
    <n v="515.91399999999999"/>
    <x v="2"/>
  </r>
  <r>
    <s v="Logitech LS21 Speaker System - PC Multimedia - 2.1-CH - Wired"/>
    <n v="62.768599999999999"/>
    <x v="0"/>
  </r>
  <r>
    <s v="Logitech MX Performance Wireless Mouse"/>
    <n v="211.8159"/>
    <x v="1"/>
  </r>
  <r>
    <s v="Logitech P710e Mobile Speakerphone"/>
    <n v="1645.3611000000001"/>
    <x v="2"/>
  </r>
  <r>
    <s v="Logitech VX Revolution Cordless Laser Mouse for Notebooks (Black)"/>
    <n v="21.598800000000011"/>
    <x v="0"/>
  </r>
  <r>
    <s v="Logitech Wireless Boombox Speaker - portable - wireless, wired"/>
    <n v="148.96"/>
    <x v="1"/>
  </r>
  <r>
    <s v="Logitech Z-906 Speaker sys - home theater - 5.1-CH"/>
    <n v="2243.9319999999998"/>
    <x v="2"/>
  </r>
  <r>
    <s v="Longer-Life Soft White Bulbs"/>
    <n v="44.721600000000009"/>
    <x v="0"/>
  </r>
  <r>
    <s v="Loose Memo Sheets"/>
    <n v="8.5775000000000006"/>
    <x v="0"/>
  </r>
  <r>
    <s v="Lumber Crayons"/>
    <n v="55.356999999999999"/>
    <x v="0"/>
  </r>
  <r>
    <s v="Lunatik TT5L-002 Taktik Strike Impact Protection System for iPhone 5"/>
    <n v="6.1230000000000002"/>
    <x v="0"/>
  </r>
  <r>
    <s v="Luxo Adjustable Task Clamp Lamp"/>
    <n v="362.46719999999999"/>
    <x v="1"/>
  </r>
  <r>
    <s v="Luxo Economy Swing Arm Lamp"/>
    <n v="94.914399999999986"/>
    <x v="0"/>
  </r>
  <r>
    <s v="Luxo Professional Combination Clamp-On Lamps"/>
    <n v="345.774"/>
    <x v="1"/>
  </r>
  <r>
    <s v="Luxo Professional Fluorescent Magnifier Lamp with Clamp-Mount Base"/>
    <n v="289.5791999999999"/>
    <x v="1"/>
  </r>
  <r>
    <s v="Luxo Professional Magnifying Clamp-On Fluorescent Lamps"/>
    <n v="106.0902"/>
    <x v="1"/>
  </r>
  <r>
    <s v="Macally Suction Cup Mount"/>
    <n v="-31.07"/>
    <x v="0"/>
  </r>
  <r>
    <s v="Magna Visual Magnetic Picture Hangers"/>
    <n v="28.052399999999999"/>
    <x v="0"/>
  </r>
  <r>
    <s v="Magnifier Swing Arm Lamp"/>
    <n v="65.457599999999999"/>
    <x v="0"/>
  </r>
  <r>
    <s v="Manco Dry-Lighter Erasable Highlighter"/>
    <n v="27.968"/>
    <x v="0"/>
  </r>
  <r>
    <s v="Manila Recycled Extra-Heavyweight Clasp Envelopes, 6&quot; x 9&quot;"/>
    <n v="52.374600000000001"/>
    <x v="0"/>
  </r>
  <r>
    <s v="Martin Yale Chadless Opener Electric Letter Opener"/>
    <n v="-1299.1836000000001"/>
    <x v="0"/>
  </r>
  <r>
    <s v="Martin-Yale Premier Letter Opener"/>
    <n v="-12.88"/>
    <x v="0"/>
  </r>
  <r>
    <s v="Master Big Foot Doorstop, Beige"/>
    <n v="42.767999999999986"/>
    <x v="0"/>
  </r>
  <r>
    <s v="Master Caster Door Stop, Brown"/>
    <n v="49.377600000000001"/>
    <x v="0"/>
  </r>
  <r>
    <s v="Master Caster Door Stop, Gray"/>
    <n v="14.224"/>
    <x v="0"/>
  </r>
  <r>
    <s v="Master Caster Door Stop, Large Brown"/>
    <n v="14.56"/>
    <x v="0"/>
  </r>
  <r>
    <s v="Master Caster Door Stop, Large Neon Orange"/>
    <n v="42.29679999999999"/>
    <x v="0"/>
  </r>
  <r>
    <s v="Master Giant Foot Doorstop, Safety Yellow"/>
    <n v="31.574400000000001"/>
    <x v="0"/>
  </r>
  <r>
    <s v="Maxell 4.7GB DVD+R 5/Pack"/>
    <n v="4.6035000000000004"/>
    <x v="0"/>
  </r>
  <r>
    <s v="Maxell 4.7GB DVD+RW 3/Pack"/>
    <n v="88.411500000000004"/>
    <x v="0"/>
  </r>
  <r>
    <s v="Maxell 4.7GB DVD-R"/>
    <n v="411.22620000000001"/>
    <x v="1"/>
  </r>
  <r>
    <s v="Maxell 4.7GB DVD-R 5/Pack"/>
    <n v="7.3655999999999997"/>
    <x v="0"/>
  </r>
  <r>
    <s v="Maxell 4.7GB DVD-RW 3/Pack"/>
    <n v="41.417999999999999"/>
    <x v="0"/>
  </r>
  <r>
    <s v="Maxell 74 Minute CD-R Spindle, 50/Pack"/>
    <n v="181.1808"/>
    <x v="1"/>
  </r>
  <r>
    <s v="Maxell 74 Minute CDR, 10/Pack"/>
    <n v="72.567599999999999"/>
    <x v="0"/>
  </r>
  <r>
    <s v="Maxell CD-R Discs"/>
    <n v="3.7035999999999998"/>
    <x v="0"/>
  </r>
  <r>
    <s v="Maxell DVD-RAM Discs"/>
    <n v="127.5552"/>
    <x v="1"/>
  </r>
  <r>
    <s v="Maxell Pro 80 Minute CD-R, 10/Pack"/>
    <n v="122.36"/>
    <x v="1"/>
  </r>
  <r>
    <s v="Maxell LTO Ultrium - 800 GB"/>
    <n v="156.4641"/>
    <x v="1"/>
  </r>
  <r>
    <s v="Maxell iVDR EX 500GB Cartridge"/>
    <n v="1184.8219999999999"/>
    <x v="2"/>
  </r>
  <r>
    <s v="Mead 1st Gear 2&quot; Zipper Binder, Asst. Colors"/>
    <n v="-3.891"/>
    <x v="0"/>
  </r>
  <r>
    <s v="Mediabridge Sport Armband iPhone 5s"/>
    <n v="-38.960999999999999"/>
    <x v="0"/>
  </r>
  <r>
    <s v="Memo Book, 100 Message Capacity, 5 3/8” x 11”"/>
    <n v="36.396000000000001"/>
    <x v="0"/>
  </r>
  <r>
    <s v="Memorex 25GB 6X Branded Blu-Ray Recordable Disc, 15/Pack"/>
    <n v="24.805399999999999"/>
    <x v="0"/>
  </r>
  <r>
    <s v="Memorex 25GB 6X Branded Blu-Ray Recordable Disc, 30/Pack"/>
    <n v="-32.269500000000008"/>
    <x v="0"/>
  </r>
  <r>
    <s v="Memorex Froggy Flash Drive 4 GB"/>
    <n v="42.421399999999998"/>
    <x v="0"/>
  </r>
  <r>
    <s v="Memorex Froggy Flash Drive 8 GB"/>
    <n v="189.57"/>
    <x v="1"/>
  </r>
  <r>
    <s v="Memorex Micro Travel Drive 16 GB"/>
    <n v="126.1611"/>
    <x v="1"/>
  </r>
  <r>
    <s v="Memorex Micro Travel Drive 32 GB"/>
    <n v="129.97559999999999"/>
    <x v="1"/>
  </r>
  <r>
    <s v="Memorex Micro Travel Drive 4 GB"/>
    <n v="37.417999999999999"/>
    <x v="0"/>
  </r>
  <r>
    <s v="Memorex Micro Travel Drive 8 GB"/>
    <n v="113.1"/>
    <x v="1"/>
  </r>
  <r>
    <s v="Memorex Mini Travel Drive 16 GB USB 2.0 Flash Drive"/>
    <n v="280.27350000000001"/>
    <x v="1"/>
  </r>
  <r>
    <s v="Memorex Mini Travel Drive 32 GB USB 2.0 Flash Drive"/>
    <n v="109.2"/>
    <x v="1"/>
  </r>
  <r>
    <s v="Memorex Mini Travel Drive 4 GB USB 2.0 Flash Drive"/>
    <n v="3.5741999999999998"/>
    <x v="0"/>
  </r>
  <r>
    <s v="Memorex Mini Travel Drive 64 GB USB 2.0 Flash Drive"/>
    <n v="228.31200000000001"/>
    <x v="1"/>
  </r>
  <r>
    <s v="Memorex Mini Travel Drive 8 GB USB 2.0 Flash Drive"/>
    <n v="53.268000000000001"/>
    <x v="0"/>
  </r>
  <r>
    <s v="Message Book, Phone, Wirebound Standard Line Memo, 2 3/4&quot; X 5&quot;"/>
    <n v="52.006999999999998"/>
    <x v="0"/>
  </r>
  <r>
    <s v="Message Book, Standard Line &quot;While You Were Out&quot;, 5 1/2&quot; X 4&quot;, 200 Sets/Book"/>
    <n v="24.139199999999999"/>
    <x v="0"/>
  </r>
  <r>
    <s v="Message Book, Wirebound, Four 5 1/2&quot; X 4&quot; Forms/Pg., 200 Dupl. Sets/Book"/>
    <n v="54.072800000000001"/>
    <x v="0"/>
  </r>
  <r>
    <s v="Metal Folding Chairs, Beige, 4/Carton"/>
    <n v="115.7354"/>
    <x v="1"/>
  </r>
  <r>
    <s v="Micro Innovations USB RF Wireless Keyboard with Mouse"/>
    <n v="84.5"/>
    <x v="0"/>
  </r>
  <r>
    <s v="Micro Innovations Wireless Classic Keyboard with Mouse"/>
    <n v="9.5968"/>
    <x v="0"/>
  </r>
  <r>
    <s v="Micropad Numeric Keypads"/>
    <n v="66.966499999999996"/>
    <x v="0"/>
  </r>
  <r>
    <s v="Microsoft Arc Touch Mouse"/>
    <n v="91.123999999999995"/>
    <x v="0"/>
  </r>
  <r>
    <s v="Microsoft Natural Ergonomic Keyboard 4000"/>
    <n v="107.6641"/>
    <x v="1"/>
  </r>
  <r>
    <s v="Microsoft Natural Keyboard Elite"/>
    <n v="20.957999999999991"/>
    <x v="0"/>
  </r>
  <r>
    <s v="Microsoft Sculpt Comfort Mouse"/>
    <n v="634.40599999999995"/>
    <x v="2"/>
  </r>
  <r>
    <s v="Microsoft Wireless Mobile Mouse 4000"/>
    <n v="183.95400000000001"/>
    <x v="1"/>
  </r>
  <r>
    <s v="Mini 13-1/2 Capacity Data Binder Rack, Pearl"/>
    <n v="287.91399999999999"/>
    <x v="1"/>
  </r>
  <r>
    <s v="Mitel 5320 IP Phone VoIP phone"/>
    <n v="211.6688"/>
    <x v="1"/>
  </r>
  <r>
    <s v="Mitel MiVoice 5330e IP Phone"/>
    <n v="780.97159999999997"/>
    <x v="2"/>
  </r>
  <r>
    <s v="Mobile Personal File Cube"/>
    <n v="90.635400000000004"/>
    <x v="0"/>
  </r>
  <r>
    <s v="Model L Table or Wall-Mount Pencil Sharpener"/>
    <n v="92.108800000000002"/>
    <x v="0"/>
  </r>
  <r>
    <s v="Mophie Juice Pack Helium for iPhone"/>
    <n v="201.57480000000001"/>
    <x v="1"/>
  </r>
  <r>
    <s v="Motorla HX550 Universal Bluetooth Headset"/>
    <n v="122.605"/>
    <x v="1"/>
  </r>
  <r>
    <s v="Motorola Droid Maxx"/>
    <n v="341.97719999999998"/>
    <x v="1"/>
  </r>
  <r>
    <s v="Motorola HK250 Universal Bluetooth Headset"/>
    <n v="-91.500200000000007"/>
    <x v="0"/>
  </r>
  <r>
    <s v="Motorola L703CM"/>
    <n v="467.97"/>
    <x v="1"/>
  </r>
  <r>
    <s v="Motorola L804"/>
    <n v="-13.3371"/>
    <x v="0"/>
  </r>
  <r>
    <s v="Motorola Moto X"/>
    <n v="142.79580000000001"/>
    <x v="1"/>
  </r>
  <r>
    <s v="Multi-Use Personal File Cart and Caster Set, Three Stacking Bins"/>
    <n v="93.156800000000004"/>
    <x v="0"/>
  </r>
  <r>
    <s v="Multicolor Computer Printout Paper"/>
    <n v="851.38200000000006"/>
    <x v="2"/>
  </r>
  <r>
    <s v="Multimedia Mailers"/>
    <n v="149.8956"/>
    <x v="1"/>
  </r>
  <r>
    <s v="NETGEAR AC1750 Dual Band Gigabit Smart WiFi Router"/>
    <n v="723.15479999999991"/>
    <x v="2"/>
  </r>
  <r>
    <s v="NETGEAR N750 Dual Band Wi-Fi Gigabit Router"/>
    <n v="622.79999999999995"/>
    <x v="2"/>
  </r>
  <r>
    <s v="NETGEAR RangeMax WNR1000 Wireless Router"/>
    <n v="11.995200000000001"/>
    <x v="0"/>
  </r>
  <r>
    <s v="Neat Ideas Personal Hanging Folder Files, Black"/>
    <n v="58.017600000000002"/>
    <x v="0"/>
  </r>
  <r>
    <s v="NeatDesk Desktop Scanner &amp; Digital Filing System"/>
    <n v="55.998600000000003"/>
    <x v="0"/>
  </r>
  <r>
    <s v="Newell 3-Hole Punched Plastic Slotted Magazine Holders for Binders"/>
    <n v="3.6560000000000001"/>
    <x v="0"/>
  </r>
  <r>
    <s v="Newell 307"/>
    <n v="3.5672000000000001"/>
    <x v="0"/>
  </r>
  <r>
    <s v="Newell 308"/>
    <n v="2.1"/>
    <x v="0"/>
  </r>
  <r>
    <s v="Newell 309"/>
    <n v="34.650000000000013"/>
    <x v="0"/>
  </r>
  <r>
    <s v="Newell 31"/>
    <n v="23.6236"/>
    <x v="0"/>
  </r>
  <r>
    <s v="Newell 310"/>
    <n v="7.48"/>
    <x v="0"/>
  </r>
  <r>
    <s v="Newell 311"/>
    <n v="13.039"/>
    <x v="0"/>
  </r>
  <r>
    <s v="Newell 312"/>
    <n v="34.456000000000003"/>
    <x v="0"/>
  </r>
  <r>
    <s v="Newell 313"/>
    <n v="4.2640000000000002"/>
    <x v="0"/>
  </r>
  <r>
    <s v="Newell 314"/>
    <n v="17.856000000000002"/>
    <x v="0"/>
  </r>
  <r>
    <s v="Newell 315"/>
    <n v="33.786999999999999"/>
    <x v="0"/>
  </r>
  <r>
    <s v="Newell 316"/>
    <n v="8.2151999999999994"/>
    <x v="0"/>
  </r>
  <r>
    <s v="Newell 317"/>
    <n v="13.171200000000001"/>
    <x v="0"/>
  </r>
  <r>
    <s v="Newell 318"/>
    <n v="14.400399999999999"/>
    <x v="0"/>
  </r>
  <r>
    <s v="Newell 319"/>
    <n v="123.008"/>
    <x v="1"/>
  </r>
  <r>
    <s v="Newell 32"/>
    <n v="11.9808"/>
    <x v="0"/>
  </r>
  <r>
    <s v="Newell 320"/>
    <n v="9.4588000000000001"/>
    <x v="0"/>
  </r>
  <r>
    <s v="Newell 321"/>
    <n v="14.366400000000001"/>
    <x v="0"/>
  </r>
  <r>
    <s v="Newell 322"/>
    <n v="6.6612"/>
    <x v="0"/>
  </r>
  <r>
    <s v="Newell 323"/>
    <n v="3.7631999999999999"/>
    <x v="0"/>
  </r>
  <r>
    <s v="Newell 324"/>
    <n v="72.072000000000003"/>
    <x v="0"/>
  </r>
  <r>
    <s v="Newell 325"/>
    <n v="29.736000000000001"/>
    <x v="0"/>
  </r>
  <r>
    <s v="Newell 326"/>
    <n v="7.8672000000000004"/>
    <x v="0"/>
  </r>
  <r>
    <s v="Newell 327"/>
    <n v="10.740600000000001"/>
    <x v="0"/>
  </r>
  <r>
    <s v="Newell 328"/>
    <n v="19.7392"/>
    <x v="0"/>
  </r>
  <r>
    <s v="Newell 329"/>
    <n v="4.8544"/>
    <x v="0"/>
  </r>
  <r>
    <s v="Newell 33"/>
    <n v="8.3699999999999992"/>
    <x v="0"/>
  </r>
  <r>
    <s v="Newell 330"/>
    <n v="11.1228"/>
    <x v="0"/>
  </r>
  <r>
    <s v="Newell 331"/>
    <n v="14.6211"/>
    <x v="0"/>
  </r>
  <r>
    <s v="Newell 332"/>
    <n v="15.523199999999999"/>
    <x v="0"/>
  </r>
  <r>
    <s v="Newell 333"/>
    <n v="18.848400000000002"/>
    <x v="0"/>
  </r>
  <r>
    <s v="Newell 334"/>
    <n v="135.30879999999999"/>
    <x v="1"/>
  </r>
  <r>
    <s v="Newell 335"/>
    <n v="10.022399999999999"/>
    <x v="0"/>
  </r>
  <r>
    <s v="Newell 336"/>
    <n v="13.781599999999999"/>
    <x v="0"/>
  </r>
  <r>
    <s v="Newell 337"/>
    <n v="1.1808000000000001"/>
    <x v="0"/>
  </r>
  <r>
    <s v="Newell 338"/>
    <n v="6.3503999999999996"/>
    <x v="0"/>
  </r>
  <r>
    <s v="Newell 339"/>
    <n v="6.1159999999999997"/>
    <x v="0"/>
  </r>
  <r>
    <s v="Newell 34"/>
    <n v="93.24799999999999"/>
    <x v="0"/>
  </r>
  <r>
    <s v="Newell 340"/>
    <n v="7.5167999999999999"/>
    <x v="0"/>
  </r>
  <r>
    <s v="Newell 341"/>
    <n v="26.835599999999999"/>
    <x v="0"/>
  </r>
  <r>
    <s v="Newell 342"/>
    <n v="2.8536000000000001"/>
    <x v="0"/>
  </r>
  <r>
    <s v="Newell 343"/>
    <n v="13.7592"/>
    <x v="0"/>
  </r>
  <r>
    <s v="Newell 344"/>
    <n v="8.5624000000000002"/>
    <x v="0"/>
  </r>
  <r>
    <s v="Newell 345"/>
    <n v="94.438400000000001"/>
    <x v="0"/>
  </r>
  <r>
    <s v="Newell 346"/>
    <n v="8.6112000000000002"/>
    <x v="0"/>
  </r>
  <r>
    <s v="Newell 347"/>
    <n v="30.302399999999999"/>
    <x v="0"/>
  </r>
  <r>
    <s v="Newell 348"/>
    <n v="9.7088000000000001"/>
    <x v="0"/>
  </r>
  <r>
    <s v="Newell 349"/>
    <n v="10.036799999999999"/>
    <x v="0"/>
  </r>
  <r>
    <s v="Newell 35"/>
    <n v="23.288"/>
    <x v="0"/>
  </r>
  <r>
    <s v="Newell 350"/>
    <n v="15.744"/>
    <x v="0"/>
  </r>
  <r>
    <s v="Newell 351"/>
    <n v="22.107199999999999"/>
    <x v="0"/>
  </r>
  <r>
    <s v="Newell Chalk Holder"/>
    <n v="36.591799999999999"/>
    <x v="0"/>
  </r>
  <r>
    <s v="Nokia Lumia 1020"/>
    <n v="143.99680000000001"/>
    <x v="1"/>
  </r>
  <r>
    <s v="Nokia Lumia 521 (T-Mobile)"/>
    <n v="83.971999999999994"/>
    <x v="0"/>
  </r>
  <r>
    <s v="Nokia Lumia 925"/>
    <n v="284.73739999999998"/>
    <x v="1"/>
  </r>
  <r>
    <s v="Nontoxic Chalk"/>
    <n v="18.233599999999999"/>
    <x v="0"/>
  </r>
  <r>
    <s v="Nortel Business Series Terminal T7208 Digital phone"/>
    <n v="100.0728"/>
    <x v="1"/>
  </r>
  <r>
    <s v="Nortel Meridian M3904 Professional Digital phone"/>
    <n v="936.25920000000008"/>
    <x v="2"/>
  </r>
  <r>
    <s v="Nortel Meridian M5316 Digital phone"/>
    <n v="253.77099999999999"/>
    <x v="1"/>
  </r>
  <r>
    <s v="Nortel Networks T7316 E Nt8 B27"/>
    <n v="397.74149999999997"/>
    <x v="1"/>
  </r>
  <r>
    <s v="Novimex Fabric Task Chair"/>
    <n v="-131.107"/>
    <x v="0"/>
  </r>
  <r>
    <s v="Novimex High-Tech Fabric Mesh Task Chair"/>
    <n v="-133.44239999999999"/>
    <x v="0"/>
  </r>
  <r>
    <s v="Novimex Swivel Fabric Task Chair"/>
    <n v="-445.39100000000002"/>
    <x v="0"/>
  </r>
  <r>
    <s v="Novimex Turbo Task Chair"/>
    <n v="-32.650799999999997"/>
    <x v="0"/>
  </r>
  <r>
    <s v="Nu-Dell EZ-Mount Plastic Wall Frames"/>
    <n v="0.78799999999999981"/>
    <x v="0"/>
  </r>
  <r>
    <s v="Nu-Dell Executive Frame"/>
    <n v="98.971199999999996"/>
    <x v="0"/>
  </r>
  <r>
    <s v="Nu-Dell Float Frame 11 x 14 1/2"/>
    <n v="56.035200000000003"/>
    <x v="0"/>
  </r>
  <r>
    <s v="Nu-Dell Leatherette Frames"/>
    <n v="81.4512"/>
    <x v="0"/>
  </r>
  <r>
    <s v="Nu-Dell Oak Frame"/>
    <n v="35.457599999999999"/>
    <x v="0"/>
  </r>
  <r>
    <s v="O'Sullivan 2-Door Barrister Bookcase in Odessa Pine"/>
    <n v="566.4674"/>
    <x v="2"/>
  </r>
  <r>
    <s v="O'Sullivan 2-Shelf Heavy-Duty Bookcases"/>
    <n v="-133.10919999999999"/>
    <x v="0"/>
  </r>
  <r>
    <s v="O'Sullivan 3-Shelf Heavy-Duty Bookcases"/>
    <n v="147.0942"/>
    <x v="1"/>
  </r>
  <r>
    <s v="O'Sullivan 4-Shelf Bookcase in Odessa Pine"/>
    <n v="-975.09879999999998"/>
    <x v="0"/>
  </r>
  <r>
    <s v="O'Sullivan 5-Shelf Heavy-Duty Bookcases"/>
    <n v="-12.291"/>
    <x v="0"/>
  </r>
  <r>
    <s v="O'Sullivan Cherrywood Estates Traditional Barrister Bookcase"/>
    <n v="-78.363599999999991"/>
    <x v="0"/>
  </r>
  <r>
    <s v="O'Sullivan Cherrywood Estates Traditional Bookcase"/>
    <n v="27.1936"/>
    <x v="0"/>
  </r>
  <r>
    <s v="O'Sullivan Elevations Bookcase, Cherry Finish"/>
    <n v="-68.1096"/>
    <x v="0"/>
  </r>
  <r>
    <s v="O'Sullivan Living Dimensions 2-Shelf Bookcases"/>
    <n v="-78.637"/>
    <x v="0"/>
  </r>
  <r>
    <s v="O'Sullivan Living Dimensions 3-Shelf Bookcases"/>
    <n v="-170.833"/>
    <x v="0"/>
  </r>
  <r>
    <s v="O'Sullivan Living Dimensions 5-Shelf Bookcases"/>
    <n v="-755.75160000000005"/>
    <x v="0"/>
  </r>
  <r>
    <s v="O'Sullivan Manor Hill 2-Door Library in Brianna Oak"/>
    <n v="-285.94839999999999"/>
    <x v="0"/>
  </r>
  <r>
    <s v="O'Sullivan Plantations 2-Door Library in Landvery Oak"/>
    <n v="-767.74360000000001"/>
    <x v="0"/>
  </r>
  <r>
    <s v="OIC #2 Pencils, Medium Soft"/>
    <n v="8.1403999999999996"/>
    <x v="0"/>
  </r>
  <r>
    <s v="OIC Binder Clips"/>
    <n v="60.143999999999991"/>
    <x v="0"/>
  </r>
  <r>
    <s v="OIC Binder Clips, Mini, 1/4&quot; Capacity, Black"/>
    <n v="7.0804"/>
    <x v="0"/>
  </r>
  <r>
    <s v="OIC Bulk Pack Metal Binder Clips"/>
    <n v="35.598000000000013"/>
    <x v="0"/>
  </r>
  <r>
    <s v="OIC Colored Binder Clips, Assorted Sizes"/>
    <n v="59.284799999999997"/>
    <x v="0"/>
  </r>
  <r>
    <s v="OIC Stacking Trays"/>
    <n v="26.72"/>
    <x v="0"/>
  </r>
  <r>
    <s v="OIC Thumb-Tacks"/>
    <n v="5.1414"/>
    <x v="0"/>
  </r>
  <r>
    <s v="Office Impressions End Table, 20-1/2&quot;H x 24&quot;W x 20&quot;D"/>
    <n v="-66.827200000000019"/>
    <x v="0"/>
  </r>
  <r>
    <s v="Office Impressions Heavy Duty Welded Shelving &amp; Multimedia Storage Drawers"/>
    <n v="-167.27"/>
    <x v="0"/>
  </r>
  <r>
    <s v="Office Star - Contemporary Swivel Chair with Padded Adjustable Arms and Flex Back"/>
    <n v="425.75959999999998"/>
    <x v="1"/>
  </r>
  <r>
    <s v="Office Star - Contemporary Task Swivel Chair"/>
    <n v="155.37200000000001"/>
    <x v="1"/>
  </r>
  <r>
    <s v="Office Star - Contemporary Task Swivel chair with 2-way adjustable arms, Plum"/>
    <n v="-158.48580000000001"/>
    <x v="0"/>
  </r>
  <r>
    <s v="Office Star - Contemporary Task Swivel chair with Loop Arms, Charcoal"/>
    <n v="-491.17500000000001"/>
    <x v="0"/>
  </r>
  <r>
    <s v="Office Star - Ergonomic Mid Back Chair with 2-Way Adjustable Arms"/>
    <n v="231.65440000000001"/>
    <x v="1"/>
  </r>
  <r>
    <s v="Office Star - Ergonomically Designed Knee Chair"/>
    <n v="-42.1096"/>
    <x v="0"/>
  </r>
  <r>
    <s v="Office Star - Mesh Screen back chair with Vinyl seat"/>
    <n v="-130.97999999999999"/>
    <x v="0"/>
  </r>
  <r>
    <s v="Office Star - Mid Back Dual function Ergonomic High Back Chair with 2-Way Adjustable Arms"/>
    <n v="342.88740000000001"/>
    <x v="1"/>
  </r>
  <r>
    <s v="Office Star - Professional Matrix Back Chair with 2-to-1 Synchro Tilt and Mesh Fabric Seat"/>
    <n v="1305.6456000000001"/>
    <x v="2"/>
  </r>
  <r>
    <s v="Office Star - Task Chair with Contemporary Loop Arms"/>
    <n v="47.309600000000003"/>
    <x v="0"/>
  </r>
  <r>
    <s v="Office Star Flex Back Scooter Chair with Aluminum Finish Frame"/>
    <n v="413.649"/>
    <x v="1"/>
  </r>
  <r>
    <s v="Office Star Flex Back Scooter Chair with White Frame"/>
    <n v="-228.61879999999999"/>
    <x v="0"/>
  </r>
  <r>
    <s v="Okidata B400 Printer"/>
    <n v="115.83"/>
    <x v="1"/>
  </r>
  <r>
    <s v="Okidata B401 Printer"/>
    <n v="-251.98740000000001"/>
    <x v="0"/>
  </r>
  <r>
    <s v="Okidata C331dn Printer"/>
    <n v="111.68"/>
    <x v="1"/>
  </r>
  <r>
    <s v="Okidata C610n Printer"/>
    <n v="-292.05"/>
    <x v="0"/>
  </r>
  <r>
    <s v="Okidata MB491 Multifunction Printer"/>
    <n v="-434.13"/>
    <x v="0"/>
  </r>
  <r>
    <s v="Okidata MB760 Printer"/>
    <n v="881.37"/>
    <x v="2"/>
  </r>
  <r>
    <s v="Ooma Telo VoIP Home Phone System"/>
    <n v="314.97500000000002"/>
    <x v="1"/>
  </r>
  <r>
    <s v="OtterBox Commuter Series Case - Samsung Galaxy S4"/>
    <n v="-55.977600000000002"/>
    <x v="0"/>
  </r>
  <r>
    <s v="OtterBox Commuter Series Case - iPhone 5 &amp; 5s"/>
    <n v="102.9132"/>
    <x v="1"/>
  </r>
  <r>
    <s v="OtterBox Defender Series Case - Samsung Galaxy S4"/>
    <n v="122.959"/>
    <x v="1"/>
  </r>
  <r>
    <s v="OtterBox Defender Series Case - iPhone 5c"/>
    <n v="3.698"/>
    <x v="0"/>
  </r>
  <r>
    <s v="PNY Rapid USB Car Charger - Black"/>
    <n v="-2.0773999999999999"/>
    <x v="0"/>
  </r>
  <r>
    <s v="Padded Folding Chairs, Black, 4/Carton"/>
    <n v="80.97999999999999"/>
    <x v="0"/>
  </r>
  <r>
    <s v="Panasonic Business Telephones KX-T7736"/>
    <n v="163.81800000000001"/>
    <x v="1"/>
  </r>
  <r>
    <s v="Panasonic KP-150 Electric Pencil Sharpener"/>
    <n v="126.8064"/>
    <x v="1"/>
  </r>
  <r>
    <s v="Panasonic KP-310 Heavy-Duty Electric Pencil Sharpener"/>
    <n v="59.345999999999997"/>
    <x v="0"/>
  </r>
  <r>
    <s v="Panasonic KP-350BK Electric Pencil Sharpener with Auto Stop"/>
    <n v="26.280799999999999"/>
    <x v="0"/>
  </r>
  <r>
    <s v="Panasonic KP-380BK Classic Electric Pencil Sharpener"/>
    <n v="111.538"/>
    <x v="1"/>
  </r>
  <r>
    <s v="Panasonic KP-4ABK Battery-Operated Pencil Sharpener"/>
    <n v="67.929600000000008"/>
    <x v="0"/>
  </r>
  <r>
    <s v="Panasonic KX - TS880B Telephone"/>
    <n v="122.4234"/>
    <x v="1"/>
  </r>
  <r>
    <s v="Panasonic KX MB2061 Multifunction Printer"/>
    <n v="179.73"/>
    <x v="1"/>
  </r>
  <r>
    <s v="Panasonic KX MC6040 Color Laser Multifunction Printer"/>
    <n v="-22.497499999999999"/>
    <x v="0"/>
  </r>
  <r>
    <s v="Panasonic KX T7731-B Digital phone"/>
    <n v="75.992400000000004"/>
    <x v="0"/>
  </r>
  <r>
    <s v="Panasonic KX T7736-B Digital phone"/>
    <n v="134.95500000000001"/>
    <x v="1"/>
  </r>
  <r>
    <s v="Panasonic KX TS208W Corded phone"/>
    <n v="154.80840000000001"/>
    <x v="1"/>
  </r>
  <r>
    <s v="Panasonic KX TS3282B Corded phone"/>
    <n v="44.2746"/>
    <x v="0"/>
  </r>
  <r>
    <s v="Panasonic KX TS3282W Corded phone"/>
    <n v="178.47900000000001"/>
    <x v="1"/>
  </r>
  <r>
    <s v="Panasonic KX-TG6844B Expandable Digital Cordless Telephone"/>
    <n v="75.2286"/>
    <x v="0"/>
  </r>
  <r>
    <s v="Panasonic KX-TG9471B"/>
    <n v="1168.1004"/>
    <x v="2"/>
  </r>
  <r>
    <s v="Panasonic KX-TG9541B DECT 6.0 Digital 2-Line Expandable Cordless Phone With Digital Answering System"/>
    <n v="1147.4235000000001"/>
    <x v="2"/>
  </r>
  <r>
    <s v="Panasonic Kx-TS550"/>
    <n v="95.199300000000008"/>
    <x v="0"/>
  </r>
  <r>
    <s v="Park Ridge Embossed Executive Business Envelopes"/>
    <n v="29.271599999999999"/>
    <x v="0"/>
  </r>
  <r>
    <s v="Pastel Pink Envelopes"/>
    <n v="31.4496"/>
    <x v="0"/>
  </r>
  <r>
    <s v="PayAnywhere Card Reader"/>
    <n v="17.482500000000002"/>
    <x v="0"/>
  </r>
  <r>
    <s v="Peel &amp; Seel Envelopes"/>
    <n v="26.539200000000001"/>
    <x v="0"/>
  </r>
  <r>
    <s v="Peel &amp; Seel Recycled Catalog Envelopes, Brown"/>
    <n v="113.48399999999999"/>
    <x v="1"/>
  </r>
  <r>
    <s v="Peel &amp; Stick Add-On Corner Pockets"/>
    <n v="4.3199999999999994"/>
    <x v="0"/>
  </r>
  <r>
    <s v="Peel-Off China Markers"/>
    <n v="109.4286"/>
    <x v="1"/>
  </r>
  <r>
    <s v="Pencil and Crayon Sharpener"/>
    <n v="3.7667999999999999"/>
    <x v="0"/>
  </r>
  <r>
    <s v="Penpower WorldCard Pro Card Scanner"/>
    <n v="-1.8294999999999999"/>
    <x v="0"/>
  </r>
  <r>
    <s v="Performers Binder/Pad Holder, Black"/>
    <n v="106.514"/>
    <x v="1"/>
  </r>
  <r>
    <s v="Perixx PERIBOARD-512B, Ergonomic Split Keyboard"/>
    <n v="29.3916"/>
    <x v="0"/>
  </r>
  <r>
    <s v="Perma STOR-ALL Hanging File Box, 13 1/8&quot;W x 12 1/4&quot;D x 10 1/2&quot;H"/>
    <n v="16.803799999999999"/>
    <x v="0"/>
  </r>
  <r>
    <s v="Permanent Self-Adhesive File Folder Labels for Typewriters by Universal"/>
    <n v="19.000800000000002"/>
    <x v="0"/>
  </r>
  <r>
    <s v="Permanent Self-Adhesive File Folder Labels for Typewriters, 1 1/8 x 3 1/2, White"/>
    <n v="55.061999999999998"/>
    <x v="0"/>
  </r>
  <r>
    <s v="Personal Creations Ink Jet Cards and Labels"/>
    <n v="157.50559999999999"/>
    <x v="1"/>
  </r>
  <r>
    <s v="Personal File Boxes with Fold-Down Carry Handle"/>
    <n v="37.392000000000003"/>
    <x v="0"/>
  </r>
  <r>
    <s v="Personal Filing Tote with Lid, Black/Gray"/>
    <n v="112.9128"/>
    <x v="1"/>
  </r>
  <r>
    <s v="Personal Folder Holder, Ebony"/>
    <n v="35.872"/>
    <x v="0"/>
  </r>
  <r>
    <s v="Petty Cash Envelope"/>
    <n v="94.36"/>
    <x v="0"/>
  </r>
  <r>
    <s v="Pizazz Global Quick File"/>
    <n v="94.610399999999998"/>
    <x v="0"/>
  </r>
  <r>
    <s v="Plantronics 81402"/>
    <n v="112.18300000000001"/>
    <x v="1"/>
  </r>
  <r>
    <s v="Plantronics Audio 478 Stereo USB Headset"/>
    <n v="514.89700000000005"/>
    <x v="2"/>
  </r>
  <r>
    <s v="Plantronics Audio 995 Wireless Stereo Headset"/>
    <n v="587.13300000000004"/>
    <x v="2"/>
  </r>
  <r>
    <s v="Plantronics CS 50-USB - headset - Convertible, Monaural"/>
    <n v="178.14689999999999"/>
    <x v="1"/>
  </r>
  <r>
    <s v="Plantronics CS510 - Over-the-Head monaural Wireless Headset System"/>
    <n v="3085.0324999999998"/>
    <x v="2"/>
  </r>
  <r>
    <s v="Plantronics Calisto P620-M USB Wireless Speakerphone System"/>
    <n v="505.65420000000012"/>
    <x v="2"/>
  </r>
  <r>
    <s v="Plantronics Cordless Phone Headset with In-line Volume - M214C"/>
    <n v="219.8355"/>
    <x v="1"/>
  </r>
  <r>
    <s v="Plantronics Encore H101 Dual Earpieces Headset"/>
    <n v="163.61799999999999"/>
    <x v="1"/>
  </r>
  <r>
    <s v="Plantronics HL10 Handset Lifter"/>
    <n v="250.5384"/>
    <x v="1"/>
  </r>
  <r>
    <s v="Plantronics MX500i Earset"/>
    <n v="-6.4424999999999999"/>
    <x v="0"/>
  </r>
  <r>
    <s v="Plantronics S12 Corded Telephone Headset System"/>
    <n v="754.53"/>
    <x v="2"/>
  </r>
  <r>
    <s v="Plantronics Savi W720 Multi-Device Wireless Headset System"/>
    <n v="3696.2820000000002"/>
    <x v="2"/>
  </r>
  <r>
    <s v="Plantronics Single Ear Headset"/>
    <n v="-21.945"/>
    <x v="0"/>
  </r>
  <r>
    <s v="Plantronics Voyager Pro HD - Bluetooth Headset"/>
    <n v="376.94200000000001"/>
    <x v="1"/>
  </r>
  <r>
    <s v="Plantronics Voyager Pro Legend"/>
    <n v="173.0316"/>
    <x v="1"/>
  </r>
  <r>
    <s v="Plastic Binding Combs"/>
    <n v="84.991499999999988"/>
    <x v="0"/>
  </r>
  <r>
    <s v="Plastic Stacking Crates &amp; Casters"/>
    <n v="2.6783999999999999"/>
    <x v="0"/>
  </r>
  <r>
    <s v="Plymouth Boxed Rubber Bands by Plymouth"/>
    <n v="-3.2970000000000002"/>
    <x v="0"/>
  </r>
  <r>
    <s v="Poly Designer Cover &amp; Back"/>
    <n v="106.34399999999999"/>
    <x v="1"/>
  </r>
  <r>
    <s v="Poly String Tie Envelopes"/>
    <n v="30.294"/>
    <x v="0"/>
  </r>
  <r>
    <s v="Polycom CX300 Desktop Phone USB VoIP phone"/>
    <n v="59.996000000000002"/>
    <x v="0"/>
  </r>
  <r>
    <s v="Polycom CX600 IP Phone VoIP phone"/>
    <n v="896.85050000000012"/>
    <x v="2"/>
  </r>
  <r>
    <s v="Polycom SoundPoint IP 450 VoIP phone"/>
    <n v="162.61920000000001"/>
    <x v="1"/>
  </r>
  <r>
    <s v="Polycom SoundPoint Pro SE-225 Corded phone"/>
    <n v="276.05680000000001"/>
    <x v="1"/>
  </r>
  <r>
    <s v="Polycom SoundStation2 EX Conference phone"/>
    <n v="518.33600000000001"/>
    <x v="2"/>
  </r>
  <r>
    <s v="Polycom VVX 310 VoIP phone"/>
    <n v="899.95"/>
    <x v="2"/>
  </r>
  <r>
    <s v="Polycom VoiceStation 500 Conference phone"/>
    <n v="339.1925"/>
    <x v="1"/>
  </r>
  <r>
    <s v="Portable Personal File Box"/>
    <n v="55.311300000000003"/>
    <x v="0"/>
  </r>
  <r>
    <s v="Portfile Personal File Boxes"/>
    <n v="7.4340000000000002"/>
    <x v="0"/>
  </r>
  <r>
    <s v="Post-it “Important Message” Note Pad, Neon Colors, 50 Sheets/Pad"/>
    <n v="28.537600000000001"/>
    <x v="0"/>
  </r>
  <r>
    <s v="PowerGen Dual USB Car Charger"/>
    <n v="52.3476"/>
    <x v="0"/>
  </r>
  <r>
    <s v="Prang Colored Pencils"/>
    <n v="38.808000000000007"/>
    <x v="0"/>
  </r>
  <r>
    <s v="Prang Drawing Pencil Set"/>
    <n v="27.077200000000001"/>
    <x v="0"/>
  </r>
  <r>
    <s v="Prang Dustless Chalk Sticks"/>
    <n v="18.815999999999999"/>
    <x v="0"/>
  </r>
  <r>
    <s v="Premier Automatic Letter Opener"/>
    <n v="-427.85860000000002"/>
    <x v="0"/>
  </r>
  <r>
    <s v="Premier Electric Letter Opener"/>
    <n v="-7.1054273576010019E-15"/>
    <x v="0"/>
  </r>
  <r>
    <s v="Premier Elliptical Ring Binder, Black"/>
    <n v="-201.5128"/>
    <x v="0"/>
  </r>
  <r>
    <s v="Premium Transparent Presentation Covers by GBC"/>
    <n v="284.06920000000002"/>
    <x v="1"/>
  </r>
  <r>
    <s v="Premium Transparent Presentation Covers, No Pattern/Clear, 8 1/2&quot; x 11&quot;"/>
    <n v="90.745200000000011"/>
    <x v="0"/>
  </r>
  <r>
    <s v="Premium Writing Pencils, Soft, #2 by Central Association for the Blind"/>
    <n v="19.429600000000001"/>
    <x v="0"/>
  </r>
  <r>
    <s v="Pressboard Covers with Storage Hooks, 9 1/2&quot; x 11&quot;, Light Blue"/>
    <n v="-11.882199999999999"/>
    <x v="0"/>
  </r>
  <r>
    <s v="Pressboard Data Binder, Crimson, 12&quot; X 8 1/2&quot;"/>
    <n v="7.1555999999999997"/>
    <x v="0"/>
  </r>
  <r>
    <s v="Pressboard Data Binders by Wilson Jones"/>
    <n v="22.9086"/>
    <x v="0"/>
  </r>
  <r>
    <s v="Pressboard Hanging Data Binders for Unburst Sheets"/>
    <n v="-10.135199999999999"/>
    <x v="0"/>
  </r>
  <r>
    <s v="Presstex Flexible Ring Binders"/>
    <n v="24.57"/>
    <x v="0"/>
  </r>
  <r>
    <s v="Prestige Round Ring Binders"/>
    <n v="18.057600000000001"/>
    <x v="0"/>
  </r>
  <r>
    <s v="Prismacolor Color Pencil Set"/>
    <n v="155.54560000000001"/>
    <x v="1"/>
  </r>
  <r>
    <s v="Project Tote Personal File"/>
    <n v="44.194499999999998"/>
    <x v="0"/>
  </r>
  <r>
    <s v="PureGear Roll-On Screen Protector"/>
    <n v="218.29079999999999"/>
    <x v="1"/>
  </r>
  <r>
    <s v="Pyle PMP37LED"/>
    <n v="576.89989999999989"/>
    <x v="2"/>
  </r>
  <r>
    <s v="Pyle PRT45 Retro Home Telephone"/>
    <n v="22.676400000000001"/>
    <x v="0"/>
  </r>
  <r>
    <s v="QVS USB Car Charger 2-Port 2.1Amp for iPod/iPhone/iPad/iPad 2/iPad 3"/>
    <n v="29.537500000000001"/>
    <x v="0"/>
  </r>
  <r>
    <s v="Quality Park Security Envelopes"/>
    <n v="88.192899999999995"/>
    <x v="0"/>
  </r>
  <r>
    <s v="Quartet Alpha White Chalk, 12/Pack"/>
    <n v="6.0995999999999997"/>
    <x v="0"/>
  </r>
  <r>
    <s v="Quartet Omega Colored Chalk, 12/Pack"/>
    <n v="34.164000000000001"/>
    <x v="0"/>
  </r>
  <r>
    <s v="RCA H5401RE1 DECT 6.0 4-Line Cordless Handset With Caller ID/Call Waiting"/>
    <n v="2.3997000000000002"/>
    <x v="0"/>
  </r>
  <r>
    <s v="RCA ViSYS 25423RE1 Corded phone"/>
    <n v="13.9986"/>
    <x v="0"/>
  </r>
  <r>
    <s v="RCA ViSYS 25425RE1 Corded phone"/>
    <n v="36.447299999999998"/>
    <x v="0"/>
  </r>
  <r>
    <s v="RCA ViSYS 25825 Wireless digital phone"/>
    <n v="90.992999999999995"/>
    <x v="0"/>
  </r>
  <r>
    <s v="RCA Visys Integrated PBX 8-Line Router"/>
    <n v="130.63050000000001"/>
    <x v="1"/>
  </r>
  <r>
    <s v="REDIFORM Incoming/Outgoing Call Register, 11&quot; X 8 1/2&quot;, 100 Messages"/>
    <n v="127.602"/>
    <x v="1"/>
  </r>
  <r>
    <s v="RSVP Cards &amp; Envelopes, Blank White, 8-1/2&quot; X 11&quot;, 24 Cards/25 Envelopes/Set"/>
    <n v="38.252400000000002"/>
    <x v="0"/>
  </r>
  <r>
    <s v="Razer Kraken 7.1 Surround Sound Over Ear USB Gaming Headset"/>
    <n v="995.9004000000001"/>
    <x v="2"/>
  </r>
  <r>
    <s v="Razer Kraken PRO Over Ear PC and Music Headset"/>
    <n v="479.94000000000011"/>
    <x v="1"/>
  </r>
  <r>
    <s v="Razer Tiamat Over Ear 7.1 Surround Sound PC Gaming Headset"/>
    <n v="2155.8921999999998"/>
    <x v="2"/>
  </r>
  <r>
    <s v="Recycled Data-Pak for Archival Bound Computer Printouts, 12-1/2 x 12-1/2 x 16"/>
    <n v="414.91800000000001"/>
    <x v="1"/>
  </r>
  <r>
    <s v="Recycled Desk Saver Line &quot;While You Were Out&quot; Book, 5 1/2&quot; X 4&quot;"/>
    <n v="123.51"/>
    <x v="1"/>
  </r>
  <r>
    <s v="Recycled Easel Ring Binders"/>
    <n v="21.634"/>
    <x v="0"/>
  </r>
  <r>
    <s v="Recycled Eldon Regeneration Jumbo File"/>
    <n v="58.944000000000003"/>
    <x v="0"/>
  </r>
  <r>
    <s v="Recycled Interoffice Envelopes with Re-Use-A-Seal Closure, 10 x 13"/>
    <n v="23.044499999999999"/>
    <x v="0"/>
  </r>
  <r>
    <s v="Recycled Interoffice Envelopes with String and Button Closure, 10 x 13"/>
    <n v="115.152"/>
    <x v="1"/>
  </r>
  <r>
    <s v="Recycled Premium Regency Composition Covers"/>
    <n v="39.880799999999986"/>
    <x v="0"/>
  </r>
  <r>
    <s v="Recycled Pressboard Report Cover with Reinforced Top Hinge"/>
    <n v="13.7598"/>
    <x v="0"/>
  </r>
  <r>
    <s v="Recycled Steel Personal File for Hanging File Folders"/>
    <n v="151.65950000000001"/>
    <x v="1"/>
  </r>
  <r>
    <s v="Recycled Steel Personal File for Standard File Folders"/>
    <n v="254.334"/>
    <x v="1"/>
  </r>
  <r>
    <s v="Redi-Strip #10 Envelopes, 4 1/8 x 9 1/2"/>
    <n v="39.53"/>
    <x v="0"/>
  </r>
  <r>
    <s v="Rediform S.O.S. 1-Up Phone Message Bk, 4-1/4x3-1/16 Bk, 1 Form/Pg, 40 Messages/Bk, 3/Pk"/>
    <n v="94.550399999999996"/>
    <x v="0"/>
  </r>
  <r>
    <s v="Rediform S.O.S. Phone Message Books"/>
    <n v="9.7607999999999997"/>
    <x v="0"/>
  </r>
  <r>
    <s v="Rediform Voice Mail Log Books"/>
    <n v="12.1584"/>
    <x v="0"/>
  </r>
  <r>
    <s v="Rediform Wirebound &quot;Phone Memo&quot; Message Book, 11 x 5-3/4"/>
    <n v="43.777200000000001"/>
    <x v="0"/>
  </r>
  <r>
    <s v="Regeneration Desk Collection"/>
    <n v="15.2064"/>
    <x v="0"/>
  </r>
  <r>
    <s v="Revere Boxed Rubber Bands by Revere"/>
    <n v="-5.7077999999999998"/>
    <x v="0"/>
  </r>
  <r>
    <s v="Ricoh - Ink Collector Unit for GX3000 Series Printers"/>
    <n v="36.915999999999997"/>
    <x v="0"/>
  </r>
  <r>
    <s v="Riverleaf Stik-Withit Designer Note Cubes"/>
    <n v="55.33"/>
    <x v="0"/>
  </r>
  <r>
    <s v="Riverside Furniture Oval Coffee Table, Oval End Table, End Table with Drawer"/>
    <n v="-1147.4000000000001"/>
    <x v="0"/>
  </r>
  <r>
    <s v="Riverside Furniture Stanwyck Manor Table Series"/>
    <n v="-415.9325"/>
    <x v="0"/>
  </r>
  <r>
    <s v="Riverside Palais Royal Lawyers Bookcase, Royale Cherry Finish"/>
    <n v="-669.54480000000035"/>
    <x v="0"/>
  </r>
  <r>
    <s v="Rogers Deluxe File Chest"/>
    <n v="-34.728400000000001"/>
    <x v="0"/>
  </r>
  <r>
    <s v="Rogers Handheld Barrel Pencil Sharpener"/>
    <n v="15.618"/>
    <x v="0"/>
  </r>
  <r>
    <s v="Rogers Jumbo File, Granite"/>
    <n v="-4.8887999999999998"/>
    <x v="0"/>
  </r>
  <r>
    <s v="Rogers Profile Extra Capacity Storage Tub"/>
    <n v="4.6871999999999989"/>
    <x v="0"/>
  </r>
  <r>
    <s v="Rosewill 107 Normal Keys USB Wired Standard Keyboard"/>
    <n v="0.80879999999999974"/>
    <x v="0"/>
  </r>
  <r>
    <s v="Round Ring Binders"/>
    <n v="-0.91520000000000135"/>
    <x v="0"/>
  </r>
  <r>
    <s v="Round Specialty Laser Printer Labels"/>
    <n v="162.0129"/>
    <x v="1"/>
  </r>
  <r>
    <s v="Rubber Band Ball"/>
    <n v="-0.29919999999999991"/>
    <x v="0"/>
  </r>
  <r>
    <s v="Rubbermaid ClusterMat Chairmats, Mat Size- 66&quot; x 60&quot;, Lip 20&quot; x 11&quot; -90 Degree Angle"/>
    <n v="-173.12880000000001"/>
    <x v="0"/>
  </r>
  <r>
    <s v="Rush Hierlooms Collection 1&quot; Thick Stackable Bookcases"/>
    <n v="410.35199999999998"/>
    <x v="1"/>
  </r>
  <r>
    <s v="Rush Hierlooms Collection Rich Wood Bookcases"/>
    <n v="-70.831199999999995"/>
    <x v="0"/>
  </r>
  <r>
    <s v="SAFCO Arco Folding Chair"/>
    <n v="1179.374"/>
    <x v="2"/>
  </r>
  <r>
    <s v="SAFCO Boltless Steel Shelving"/>
    <n v="-470.46960000000001"/>
    <x v="0"/>
  </r>
  <r>
    <s v="SAFCO Commercial Wire Shelving, 72h"/>
    <n v="-24.495999999999999"/>
    <x v="0"/>
  </r>
  <r>
    <s v="SAFCO Commercial Wire Shelving, Black"/>
    <n v="-635.44399999999996"/>
    <x v="0"/>
  </r>
  <r>
    <s v="SAFCO Folding Chair Trolley"/>
    <n v="151.32320000000001"/>
    <x v="1"/>
  </r>
  <r>
    <s v="SAFCO Mobile Desk Side File, Wire Frame"/>
    <n v="259.12560000000002"/>
    <x v="1"/>
  </r>
  <r>
    <s v="SAFCO Optional Arm Kit for Workspace Cribbage Stacking Chair"/>
    <n v="14.9184"/>
    <x v="0"/>
  </r>
  <r>
    <s v="SAFCO PlanMaster Boards, 60w x 37-1/2d, White Melamine"/>
    <n v="54.716400000000021"/>
    <x v="0"/>
  </r>
  <r>
    <s v="SAFCO PlanMaster Heigh-Adjustable Drafting Table Base, 43w x 30d x 30-37h, Black"/>
    <n v="608.04300000000001"/>
    <x v="2"/>
  </r>
  <r>
    <s v="SANFORD Liquid Accent Tank-Style Highlighters"/>
    <n v="4.4020000000000001"/>
    <x v="0"/>
  </r>
  <r>
    <s v="SANFORD Major Accent Highlighters"/>
    <n v="77.88"/>
    <x v="0"/>
  </r>
  <r>
    <s v="SKILCRAFT Telephone Shoulder Rest, 2&quot; x 6.5&quot; x 2.5&quot;, Black"/>
    <n v="13.006399999999999"/>
    <x v="0"/>
  </r>
  <r>
    <s v="Sabrent 4-Port USB 2.0 Hub"/>
    <n v="29.196999999999999"/>
    <x v="0"/>
  </r>
  <r>
    <s v="Safco Chair Connectors, 6/Carton"/>
    <n v="170.85120000000001"/>
    <x v="1"/>
  </r>
  <r>
    <s v="Safco Commercial Shelving"/>
    <n v="-7.4416000000000011"/>
    <x v="0"/>
  </r>
  <r>
    <s v="Safco Contoured Stacking Chairs"/>
    <n v="870.16000000000008"/>
    <x v="2"/>
  </r>
  <r>
    <s v="Safco Drafting Table"/>
    <n v="34.070399999999999"/>
    <x v="0"/>
  </r>
  <r>
    <s v="Safco Industrial Shelving"/>
    <n v="-104.1285"/>
    <x v="0"/>
  </r>
  <r>
    <s v="Safco Industrial Wire Shelving"/>
    <n v="-126.7068"/>
    <x v="0"/>
  </r>
  <r>
    <s v="Safco Industrial Wire Shelving System"/>
    <n v="-218.352"/>
    <x v="0"/>
  </r>
  <r>
    <s v="Safco Steel Mobile File Cart"/>
    <n v="120.872"/>
    <x v="1"/>
  </r>
  <r>
    <s v="Safco Value Mate Series Steel Bookcases, Baked Enamel Finish on Steel, Gray"/>
    <n v="-9.93719999999999"/>
    <x v="0"/>
  </r>
  <r>
    <s v="Safco Value Mate Steel Bookcase, Baked Enamel Finish on Steel, Black"/>
    <n v="106.47"/>
    <x v="1"/>
  </r>
  <r>
    <s v="Safco Wire Cube Shelving System, For Use as 4 or 5 14&quot; Cubes, Black"/>
    <n v="14.301"/>
    <x v="0"/>
  </r>
  <r>
    <s v="Samsung Convoy 3"/>
    <n v="-31.077200000000001"/>
    <x v="0"/>
  </r>
  <r>
    <s v="Samsung Galaxy Mega 6.3"/>
    <n v="1822.7565999999999"/>
    <x v="2"/>
  </r>
  <r>
    <s v="Samsung Galaxy Note 2"/>
    <n v="-128.7972"/>
    <x v="0"/>
  </r>
  <r>
    <s v="Samsung Galaxy Note 3"/>
    <n v="153.99299999999999"/>
    <x v="1"/>
  </r>
  <r>
    <s v="Samsung Galaxy S III - 16GB - pebble blue (T-Mobile)"/>
    <n v="83.997600000000034"/>
    <x v="0"/>
  </r>
  <r>
    <s v="Samsung Galaxy S4"/>
    <n v="438.19299999999998"/>
    <x v="1"/>
  </r>
  <r>
    <s v="Samsung Galaxy S4 Active"/>
    <n v="1039.9792"/>
    <x v="2"/>
  </r>
  <r>
    <s v="Samsung Galaxy S4 Mini"/>
    <n v="1104.4765"/>
    <x v="2"/>
  </r>
  <r>
    <s v="Samsung HM1900 Bluetooth Headset"/>
    <n v="195.35499999999999"/>
    <x v="1"/>
  </r>
  <r>
    <s v="Samsung Replacement EH64AVFWE Premium Headset"/>
    <n v="17.875"/>
    <x v="0"/>
  </r>
  <r>
    <s v="Samsung Rugby III"/>
    <n v="229.64519999999999"/>
    <x v="1"/>
  </r>
  <r>
    <s v="SanDisk Cruzer 16 GB USB Flash Drive"/>
    <n v="14.923999999999999"/>
    <x v="0"/>
  </r>
  <r>
    <s v="SanDisk Cruzer 32 GB USB Flash Drive"/>
    <n v="102.708"/>
    <x v="1"/>
  </r>
  <r>
    <s v="SanDisk Cruzer 4 GB USB Flash Drive"/>
    <n v="5.5164999999999997"/>
    <x v="0"/>
  </r>
  <r>
    <s v="SanDisk Cruzer 64 GB USB Flash Drive"/>
    <n v="319.61599999999999"/>
    <x v="1"/>
  </r>
  <r>
    <s v="SanDisk Cruzer 8 GB USB Flash Drive"/>
    <n v="-1.3584000000000001"/>
    <x v="0"/>
  </r>
  <r>
    <s v="SanDisk Ultra 16 GB MicroSDHC Class 10 Memory Card"/>
    <n v="-48.582599999999999"/>
    <x v="0"/>
  </r>
  <r>
    <s v="SanDisk Ultra 32 GB MicroSDHC Class 10 Memory Card"/>
    <n v="38.012000000000008"/>
    <x v="0"/>
  </r>
  <r>
    <s v="SanDisk Ultra 64 GB MicroSDHC Class 10 Memory Card"/>
    <n v="37.990499999999997"/>
    <x v="0"/>
  </r>
  <r>
    <s v="Sanford 52201 APSCO Electric Pencil Sharpener"/>
    <n v="140.93680000000001"/>
    <x v="1"/>
  </r>
  <r>
    <s v="Sanford Colorific Colored Pencils, 12/Box"/>
    <n v="20.736000000000001"/>
    <x v="0"/>
  </r>
  <r>
    <s v="Sanford Colorific Eraseable Coloring Pencils, 12 Count"/>
    <n v="17.876000000000001"/>
    <x v="0"/>
  </r>
  <r>
    <s v="Sanford Colorific Scented Colored Pencils, 12/Pack"/>
    <n v="14.594799999999999"/>
    <x v="0"/>
  </r>
  <r>
    <s v="Sanford EarthWrite Recycled Pencils, Medium Soft, #2"/>
    <n v="8.2319999999999993"/>
    <x v="0"/>
  </r>
  <r>
    <s v="Sanford Liquid Accent Highlighters"/>
    <n v="48.630400000000002"/>
    <x v="0"/>
  </r>
  <r>
    <s v="Sanford Pocket Accent Highlighters"/>
    <n v="9.6319999999999997"/>
    <x v="0"/>
  </r>
  <r>
    <s v="Sanford Prismacolor Professional Thick Lead Art Pencils, 36-Color Set"/>
    <n v="49.795199999999987"/>
    <x v="0"/>
  </r>
  <r>
    <s v="Sanford Uni-Blazer View Highlighters, Chisel Tip, Yellow"/>
    <n v="13.552"/>
    <x v="0"/>
  </r>
  <r>
    <s v="Sanitaire Vibra Groomer IR Commercial Upright Vacuum, Replacement Belts"/>
    <n v="1.3"/>
    <x v="0"/>
  </r>
  <r>
    <s v="Sannysis Cute Owl Design Soft Skin Case Cover for Samsung Galaxy S4"/>
    <n v="2.2968000000000002"/>
    <x v="0"/>
  </r>
  <r>
    <s v="Sanyo 2.5 Cubic Foot Mid-Size Office Refrigerators"/>
    <n v="956.9502"/>
    <x v="2"/>
  </r>
  <r>
    <s v="Sanyo Counter Height Refrigerator with Crisper, 3.6 Cubic Foot, Stainless Steel/Black"/>
    <n v="1653.8255999999999"/>
    <x v="2"/>
  </r>
  <r>
    <s v="Satellite Sectional Post Binders"/>
    <n v="329.04779999999988"/>
    <x v="1"/>
  </r>
  <r>
    <s v="Sauder Barrister Bookcases"/>
    <n v="-294.7672"/>
    <x v="0"/>
  </r>
  <r>
    <s v="Sauder Camden County Barrister Bookcase, Planked Cherry Finish"/>
    <n v="24.196000000000002"/>
    <x v="0"/>
  </r>
  <r>
    <s v="Sauder Camden County Collection Libraries, Planked Cherry Finish"/>
    <n v="-78.186399999999992"/>
    <x v="0"/>
  </r>
  <r>
    <s v="Sauder Camden County Collection Library"/>
    <n v="-103.482"/>
    <x v="0"/>
  </r>
  <r>
    <s v="Sauder Cornerstone Collection Library"/>
    <n v="-81.167600000000007"/>
    <x v="0"/>
  </r>
  <r>
    <s v="Sauder Facets Collection Library, Sky Alder Finish"/>
    <n v="-8.5489999999999924"/>
    <x v="0"/>
  </r>
  <r>
    <s v="Sauder Facets Collection Locker/File Cabinet, Sky Alder Finish"/>
    <n v="222.58799999999999"/>
    <x v="1"/>
  </r>
  <r>
    <s v="Sauder Forest Hills Library with Doors, Woodland Oak Finish"/>
    <n v="-418.548"/>
    <x v="0"/>
  </r>
  <r>
    <s v="Sauder Forest Hills Library, Woodland Oak Finish"/>
    <n v="-70.489999999999995"/>
    <x v="0"/>
  </r>
  <r>
    <s v="Sauder Inglewood Library Bookcases"/>
    <n v="311.18360000000001"/>
    <x v="1"/>
  </r>
  <r>
    <s v="Sauder Mission Library with Doors, Fruitwood Finish"/>
    <n v="-125.74079999999999"/>
    <x v="0"/>
  </r>
  <r>
    <s v="Security-Tint Envelopes"/>
    <n v="73.878799999999998"/>
    <x v="0"/>
  </r>
  <r>
    <s v="Seidio BD2-HK3IPH5-BK DILEX Case and Holster Combo for Apple iPhone 5/5s - Black"/>
    <n v="27.288799999999998"/>
    <x v="0"/>
  </r>
  <r>
    <s v="Self-Adhesive Address Labels for Typewriters by Universal"/>
    <n v="64.4011"/>
    <x v="0"/>
  </r>
  <r>
    <s v="Self-Adhesive Address Labels for Typewriters with Dispenser Box"/>
    <n v="8.9666999999999994"/>
    <x v="0"/>
  </r>
  <r>
    <s v="Self-Adhesive Removable Labels"/>
    <n v="52.92"/>
    <x v="0"/>
  </r>
  <r>
    <s v="Self-Adhesive Ring Binder Labels"/>
    <n v="2.3584000000000001"/>
    <x v="0"/>
  </r>
  <r>
    <s v="Sensible Storage WireTech Storage Systems"/>
    <n v="-78.077999999999975"/>
    <x v="0"/>
  </r>
  <r>
    <s v="Serrated Blade or Curved Handle Hand Letter Openers"/>
    <n v="-4.1134000000000004"/>
    <x v="0"/>
  </r>
  <r>
    <s v="Seth Thomas 12&quot; Clock w/ Goldtone Case"/>
    <n v="132.8244"/>
    <x v="1"/>
  </r>
  <r>
    <s v="Seth Thomas 13 1/2&quot; Wall Clock"/>
    <n v="71.11999999999999"/>
    <x v="0"/>
  </r>
  <r>
    <s v="Seth Thomas 14&quot; Day/Date Wall Clock"/>
    <n v="162.05119999999999"/>
    <x v="1"/>
  </r>
  <r>
    <s v="Seth Thomas 14&quot; Putty-Colored Wall Clock"/>
    <n v="94.768200000000007"/>
    <x v="0"/>
  </r>
  <r>
    <s v="Seth Thomas 16&quot; Steel Case Clock"/>
    <n v="28.2576"/>
    <x v="0"/>
  </r>
  <r>
    <s v="Seth Thomas 8 1/2&quot; Cubicle Clock"/>
    <n v="59.217599999999997"/>
    <x v="0"/>
  </r>
  <r>
    <s v="Sharp 1540cs Digital Laser Copier"/>
    <n v="1649.97"/>
    <x v="2"/>
  </r>
  <r>
    <s v="Sharp AL-1530CS Digital Copier"/>
    <n v="2064.9587000000001"/>
    <x v="2"/>
  </r>
  <r>
    <s v="Shocksock Galaxy S4 Armband"/>
    <n v="-10.074"/>
    <x v="0"/>
  </r>
  <r>
    <s v="ShoreTel ShorePhone IP 230 VoIP phone"/>
    <n v="422.47500000000002"/>
    <x v="1"/>
  </r>
  <r>
    <s v="SimpliFile Personal File, Black Granite, 15w x 6-15/16d x 11-1/4h"/>
    <n v="85.805999999999997"/>
    <x v="0"/>
  </r>
  <r>
    <s v="Situations Contoured Folding Chairs, 4/Set"/>
    <n v="234.23400000000001"/>
    <x v="1"/>
  </r>
  <r>
    <s v="SlimView Poly Binder, 3/8&quot;"/>
    <n v="5.6980000000000004"/>
    <x v="0"/>
  </r>
  <r>
    <s v="SmartStand Mobile Device Holder, Assorted Colors"/>
    <n v="10.0656"/>
    <x v="0"/>
  </r>
  <r>
    <s v="Smead Adjustable Mobile File Trolley with Lockable Top"/>
    <n v="1106.6615999999999"/>
    <x v="2"/>
  </r>
  <r>
    <s v="Smead Alpha-Z Color-Coded Name Labels First Letter Starter Set"/>
    <n v="32.25"/>
    <x v="0"/>
  </r>
  <r>
    <s v="Smead Alpha-Z Color-Coded Second Alphabetical Labels and Starter Set"/>
    <n v="22.4224"/>
    <x v="0"/>
  </r>
  <r>
    <s v="Snap-A-Way Black Print Carbonless Ruled Speed Letter, Triplicate"/>
    <n v="453.76240000000013"/>
    <x v="1"/>
  </r>
  <r>
    <s v="Snap-A-Way Black Print Carbonless Speed Message, No Reply Area, Duplicate"/>
    <n v="31.4712"/>
    <x v="0"/>
  </r>
  <r>
    <s v="Socket Bluetooth Cordless Hand Scanner (CHS)"/>
    <n v="177.19800000000001"/>
    <x v="1"/>
  </r>
  <r>
    <s v="Sony 16GB Class 10 Micro SDHC R40 Memory Card"/>
    <n v="5.1559999999999988"/>
    <x v="0"/>
  </r>
  <r>
    <s v="Sony 32GB Class 10 Micro SDHC R40 Memory Card"/>
    <n v="52.793999999999997"/>
    <x v="0"/>
  </r>
  <r>
    <s v="Sony 64GB Class 10 Micro SDHC R40 Memory Card"/>
    <n v="132.08330000000001"/>
    <x v="1"/>
  </r>
  <r>
    <s v="Sony 8GB Class 10 Micro SDHC R40 Memory Card"/>
    <n v="0.33989999999999998"/>
    <x v="0"/>
  </r>
  <r>
    <s v="Sony Micro Vault Click 16 GB USB 2.0 Flash Drive"/>
    <n v="255.31440000000001"/>
    <x v="1"/>
  </r>
  <r>
    <s v="Sony Micro Vault Click 4 GB USB 2.0 Flash Drive"/>
    <n v="35.128799999999998"/>
    <x v="0"/>
  </r>
  <r>
    <s v="Sony Micro Vault Click 8 GB USB 2.0 Flash Drive"/>
    <n v="57.327800000000003"/>
    <x v="0"/>
  </r>
  <r>
    <s v="Sortfiler Multipurpose Personal File Organizer, Black"/>
    <n v="118.9284"/>
    <x v="1"/>
  </r>
  <r>
    <s v="Southworth 100% Cotton The Best Paper"/>
    <n v="65.435999999999993"/>
    <x v="0"/>
  </r>
  <r>
    <s v="Southworth 100% Résumé Paper, 24lb."/>
    <n v="113.199"/>
    <x v="1"/>
  </r>
  <r>
    <s v="Southworth 25% Cotton Antique Laid Paper &amp; Envelopes"/>
    <n v="80.897999999999996"/>
    <x v="0"/>
  </r>
  <r>
    <s v="Southworth 25% Cotton Granite Paper &amp; Envelopes"/>
    <n v="13.210800000000001"/>
    <x v="0"/>
  </r>
  <r>
    <s v="Southworth 25% Cotton Linen-Finish Paper &amp; Envelopes"/>
    <n v="67.043999999999997"/>
    <x v="0"/>
  </r>
  <r>
    <s v="Southworth 25% Cotton Premium Laser Paper and Envelopes"/>
    <n v="236.56319999999999"/>
    <x v="1"/>
  </r>
  <r>
    <s v="Southworth Parchment Paper &amp; Envelopes"/>
    <n v="30.738"/>
    <x v="0"/>
  </r>
  <r>
    <s v="Southworth Structures Collection"/>
    <n v="36.4"/>
    <x v="0"/>
  </r>
  <r>
    <s v="Space Solutions Commercial Steel Shelving"/>
    <n v="-74.347499999999968"/>
    <x v="0"/>
  </r>
  <r>
    <s v="Space Solutions HD Industrial Steel Shelving."/>
    <n v="24.143699999999999"/>
    <x v="0"/>
  </r>
  <r>
    <s v="Space Solutions Industrial Galvanized Steel Shelving."/>
    <n v="-20.488"/>
    <x v="0"/>
  </r>
  <r>
    <s v="Speck Products Candyshell Flip Case"/>
    <n v="-18.194800000000001"/>
    <x v="0"/>
  </r>
  <r>
    <s v="Speediset Carbonless Redi-Letter 7&quot; x 8 1/2&quot;"/>
    <n v="77.634299999999996"/>
    <x v="0"/>
  </r>
  <r>
    <s v="Spigen Samsung Galaxy S5 Case Wallet"/>
    <n v="45.872999999999998"/>
    <x v="0"/>
  </r>
  <r>
    <s v="SpineVue Locking Slant-D Ring Binders by Cardinal"/>
    <n v="6.0323999999999991"/>
    <x v="0"/>
  </r>
  <r>
    <s v="Spiral Phone Message Books with Labels by Adams"/>
    <n v="25.76"/>
    <x v="0"/>
  </r>
  <r>
    <s v="Square Credit Card Reader"/>
    <n v="11.188800000000001"/>
    <x v="0"/>
  </r>
  <r>
    <s v="Square Credit Card Reader, 4 1/2&quot; x 4 1/2&quot; x 1&quot;, White"/>
    <n v="54.845100000000002"/>
    <x v="0"/>
  </r>
  <r>
    <s v="Square Ring Data Binders, Rigid 75 Pt. Covers, 11&quot; x 14-7/8&quot;"/>
    <n v="98.246399999999994"/>
    <x v="0"/>
  </r>
  <r>
    <s v="Stackable Trays"/>
    <n v="17.1248"/>
    <x v="0"/>
  </r>
  <r>
    <s v="Stacking Tray, Side-Loading, Legal, Smoke"/>
    <n v="-2.8672"/>
    <x v="0"/>
  </r>
  <r>
    <s v="Stacking Trays by OIC"/>
    <n v="9.3125999999999998"/>
    <x v="0"/>
  </r>
  <r>
    <s v="Standard Line “While You Were Out” Hardbound Telephone Message Book"/>
    <n v="80.446799999999996"/>
    <x v="0"/>
  </r>
  <r>
    <s v="Standard Rollaway File with Lock"/>
    <n v="1261.33"/>
    <x v="2"/>
  </r>
  <r>
    <s v="Stanley Bostitch Contemporary Electric Pencil Sharpeners"/>
    <n v="42.7896"/>
    <x v="0"/>
  </r>
  <r>
    <s v="Stanley Contemporary Battery Pencil Sharpeners"/>
    <n v="63.012"/>
    <x v="0"/>
  </r>
  <r>
    <s v="Staple envelope"/>
    <n v="751.62899999999991"/>
    <x v="2"/>
  </r>
  <r>
    <s v="Staple holder"/>
    <n v="118.0017"/>
    <x v="1"/>
  </r>
  <r>
    <s v="Staple magnet"/>
    <n v="44.809199999999997"/>
    <x v="0"/>
  </r>
  <r>
    <s v="Staple remover"/>
    <n v="24.067799999999998"/>
    <x v="0"/>
  </r>
  <r>
    <s v="Staple-based wall hangings"/>
    <n v="121.9936"/>
    <x v="1"/>
  </r>
  <r>
    <s v="Staple-on labels"/>
    <n v="21.5883"/>
    <x v="0"/>
  </r>
  <r>
    <s v="Staples"/>
    <n v="292.20459999999991"/>
    <x v="1"/>
  </r>
  <r>
    <s v="Staples in misc. colors"/>
    <n v="124.05159999999999"/>
    <x v="1"/>
  </r>
  <r>
    <s v="Star Micronics TSP100 TSP143LAN Receipt Printer"/>
    <n v="269.30799999999999"/>
    <x v="1"/>
  </r>
  <r>
    <s v="Star Micronics TSP800 TSP847IIU Receipt Printer"/>
    <n v="360.31799999999998"/>
    <x v="1"/>
  </r>
  <r>
    <s v="StarTech.com 10/100 VDSL2 Ethernet Extender Kit"/>
    <n v="-785.76200000000006"/>
    <x v="0"/>
  </r>
  <r>
    <s v="Steel Personal Filing/Posting Tote"/>
    <n v="185.71729999999999"/>
    <x v="1"/>
  </r>
  <r>
    <s v="Sterilite Officeware Hinged File Box"/>
    <n v="78.075999999999993"/>
    <x v="0"/>
  </r>
  <r>
    <s v="Sterilite Show Offs Storage Containers"/>
    <n v="-6.3360000000000003"/>
    <x v="0"/>
  </r>
  <r>
    <s v="Sterling Rubber Bands by Alliance"/>
    <n v="-3.7679999999999998"/>
    <x v="0"/>
  </r>
  <r>
    <s v="Stiletto Hand Letter Openers"/>
    <n v="-21.984000000000002"/>
    <x v="0"/>
  </r>
  <r>
    <s v="Stockwell Gold Paper Clips"/>
    <n v="3.4039999999999999"/>
    <x v="0"/>
  </r>
  <r>
    <s v="Stockwell Push Pins"/>
    <n v="20.099599999999999"/>
    <x v="0"/>
  </r>
  <r>
    <s v="Storex Dura Pro Binders"/>
    <n v="50.549399999999991"/>
    <x v="0"/>
  </r>
  <r>
    <s v="Storex DuraTech Recycled Plastic Frosted Binders"/>
    <n v="11.448"/>
    <x v="0"/>
  </r>
  <r>
    <s v="Storex Flexible Poly Binders with Double Pockets"/>
    <n v="-2.0064000000000002"/>
    <x v="0"/>
  </r>
  <r>
    <s v="Strathmore #10 Envelopes, Ultimate White"/>
    <n v="309.9348"/>
    <x v="1"/>
  </r>
  <r>
    <s v="Strathmore Photo Frame Cards"/>
    <n v="53.801600000000001"/>
    <x v="0"/>
  </r>
  <r>
    <s v="Strathmore Photo Mount Cards"/>
    <n v="106.3104"/>
    <x v="1"/>
  </r>
  <r>
    <s v="Stride Job 150 Highlighters, Chisel Tip, Assorted Colors"/>
    <n v="6.4584000000000001"/>
    <x v="0"/>
  </r>
  <r>
    <s v="Stur-D-Stor Shelving, Vertical 5-Shelf: 72&quot;H x 36&quot;W x 18 1/2&quot;D"/>
    <n v="51.050800000000002"/>
    <x v="0"/>
  </r>
  <r>
    <s v="Super Bands, 12/Pack"/>
    <n v="-2.6040000000000001"/>
    <x v="0"/>
  </r>
  <r>
    <s v="Super Decoflex Portable Personal File"/>
    <n v="39.547199999999997"/>
    <x v="0"/>
  </r>
  <r>
    <s v="Surelock Post Binders"/>
    <n v="210.864"/>
    <x v="1"/>
  </r>
  <r>
    <s v="Swingline SM12-08 MicroCut Jam Free Shredder"/>
    <n v="-447.98880000000003"/>
    <x v="0"/>
  </r>
  <r>
    <s v="TOPS &quot;Important Message&quot; Pads, Canary, 4-1/4 x 5-1/2, 50 Sheets per Pad"/>
    <n v="31.629200000000001"/>
    <x v="0"/>
  </r>
  <r>
    <s v="TOPS 4 x 6 Fluorescent Color Memo Sheets, 500 Sheets per Pack"/>
    <n v="37.105900000000013"/>
    <x v="0"/>
  </r>
  <r>
    <s v="TOPS Carbonless Receipt Book, Four 2-3/4 x 7-1/4 Money Receipts per Page"/>
    <n v="178.70400000000001"/>
    <x v="1"/>
  </r>
  <r>
    <s v="TOPS Money Receipt Book, Consecutively Numbered in Red,"/>
    <n v="39.649500000000003"/>
    <x v="0"/>
  </r>
  <r>
    <s v="TOPS Voice Message Log Book, Flash Format"/>
    <n v="20.372800000000002"/>
    <x v="0"/>
  </r>
  <r>
    <s v="TRENDnet 56K USB 2.0 Phone, Internet and Fax Modem"/>
    <n v="212.298"/>
    <x v="1"/>
  </r>
  <r>
    <s v="Telephone Message Books with Fax/Mobile Section, 4 1/4&quot; x 6&quot;"/>
    <n v="21.96"/>
    <x v="0"/>
  </r>
  <r>
    <s v="Telephone Message Books with Fax/Mobile Section, 5 1/2&quot; x 3 3/16&quot;"/>
    <n v="40.767000000000003"/>
    <x v="0"/>
  </r>
  <r>
    <s v="Telescoping Adjustable Floor Lamp"/>
    <n v="-5.9970000000000017"/>
    <x v="0"/>
  </r>
  <r>
    <s v="Tenex &quot;The Solids&quot; Textured Chair Mats"/>
    <n v="-40.576799999999977"/>
    <x v="0"/>
  </r>
  <r>
    <s v="Tenex 46&quot; x 60&quot; Computer Anti-Static Chairmat, Rectangular Shaped"/>
    <n v="148.37200000000001"/>
    <x v="1"/>
  </r>
  <r>
    <s v="Tenex Antistatic Computer Chair Mats"/>
    <n v="-530.0379999999999"/>
    <x v="0"/>
  </r>
  <r>
    <s v="Tenex B1-RE Series Chair Mats for Low Pile Carpets"/>
    <n v="124.6058"/>
    <x v="1"/>
  </r>
  <r>
    <s v="Tenex Carpeted, Granite-Look or Clear Contemporary Contour Shape Chair Mats"/>
    <n v="-222.73650000000001"/>
    <x v="0"/>
  </r>
  <r>
    <s v="Tenex Chairmat w/ Average Lip, 45&quot; x 53&quot;"/>
    <n v="-529.76"/>
    <x v="0"/>
  </r>
  <r>
    <s v="Tenex Chairmats For Use With Carpeted Floors"/>
    <n v="8.7889999999999997"/>
    <x v="0"/>
  </r>
  <r>
    <s v="Tenex Chairmats For Use with Hard Floors"/>
    <n v="-129.91999999999999"/>
    <x v="0"/>
  </r>
  <r>
    <s v="Tenex Contemporary Contur Chairmats for Low and Medium Pile Carpet, Computer, 39&quot; x 49&quot;"/>
    <n v="150.542"/>
    <x v="1"/>
  </r>
  <r>
    <s v="Tenex File Box, Personal Filing Tote with Lid, Black"/>
    <n v="62.660400000000003"/>
    <x v="0"/>
  </r>
  <r>
    <s v="Tenex Personal Filing Tote With Secure Closure Lid, Black/Frost"/>
    <n v="23.265000000000001"/>
    <x v="0"/>
  </r>
  <r>
    <s v="Tenex Personal Project File with Scoop Front Design, Black"/>
    <n v="118.624"/>
    <x v="1"/>
  </r>
  <r>
    <s v="Tenex Personal Self-Stacking Standard File Box, Black/Gray"/>
    <n v="44.811500000000002"/>
    <x v="0"/>
  </r>
  <r>
    <s v="Tenex Traditional Chairmats for Hard Floors, Average Lip, 36&quot; x 48&quot;"/>
    <n v="-46.404000000000003"/>
    <x v="0"/>
  </r>
  <r>
    <s v="Tenex Traditional Chairmats for Medium Pile Carpet, Standard Lip, 36&quot; x 48&quot;"/>
    <n v="172.24600000000001"/>
    <x v="1"/>
  </r>
  <r>
    <s v="Tenex V2T-RE Standard Weight Series Chair Mat, 45&quot; x 53&quot;, Lip 25&quot; x 12&quot;"/>
    <n v="51.105600000000003"/>
    <x v="0"/>
  </r>
  <r>
    <s v="Tennsco 16-Compartment Lockers with Coat Rack"/>
    <n v="1114.3707999999999"/>
    <x v="2"/>
  </r>
  <r>
    <s v="Tennsco 6- and 18-Compartment Lockers"/>
    <n v="1575.1098"/>
    <x v="2"/>
  </r>
  <r>
    <s v="Tennsco Commercial Shelving"/>
    <n v="-48.6126"/>
    <x v="0"/>
  </r>
  <r>
    <s v="Tennsco Double-Tier Lockers"/>
    <n v="429.78820000000002"/>
    <x v="1"/>
  </r>
  <r>
    <s v="Tennsco Industrial Shelving"/>
    <n v="-108.5802"/>
    <x v="0"/>
  </r>
  <r>
    <s v="Tennsco Lockers, Gray"/>
    <n v="-26.434799999999999"/>
    <x v="0"/>
  </r>
  <r>
    <s v="Tennsco Lockers, Sand"/>
    <n v="56.226399999999998"/>
    <x v="0"/>
  </r>
  <r>
    <s v="Tennsco Regal Shelving Units"/>
    <n v="-6.0845999999999947"/>
    <x v="0"/>
  </r>
  <r>
    <s v="Tennsco Single-Tier Lockers"/>
    <n v="-825.74799999999993"/>
    <x v="0"/>
  </r>
  <r>
    <s v="Tennsco Snap-Together Open Shelving Units, Starter Sets and Add-On Units"/>
    <n v="181.66200000000001"/>
    <x v="1"/>
  </r>
  <r>
    <s v="Tennsco Stur-D-Stor Boltless Shelving, 5 Shelves, 24&quot; Deep, Sand"/>
    <n v="-36.533700000000003"/>
    <x v="0"/>
  </r>
  <r>
    <s v="Tensor &quot;Hersey Kiss&quot; Styled Floor Lamp"/>
    <n v="2.0783999999999998"/>
    <x v="0"/>
  </r>
  <r>
    <s v="Tensor Brushed Steel Torchiere Floor Lamp"/>
    <n v="6.7959999999999994"/>
    <x v="0"/>
  </r>
  <r>
    <s v="Tensor Computer Mounted Lamp"/>
    <n v="144.73079999999999"/>
    <x v="1"/>
  </r>
  <r>
    <s v="Tensor Track Tree Floor Lamp"/>
    <n v="38.180899999999987"/>
    <x v="0"/>
  </r>
  <r>
    <s v="Texas Instrument TI-15 Fraction Calculator"/>
    <n v="-20.518999999999998"/>
    <x v="0"/>
  </r>
  <r>
    <s v="Texas Instruments TI-34 Scientific Calculator"/>
    <n v="64.650599999999997"/>
    <x v="0"/>
  </r>
  <r>
    <s v="Things To Do Today Pad"/>
    <n v="59.169599999999988"/>
    <x v="0"/>
  </r>
  <r>
    <s v="Things To Do Today Spiral Book"/>
    <n v="29.8584"/>
    <x v="0"/>
  </r>
  <r>
    <s v="Tops Green Bar Computer Printout Paper"/>
    <n v="171.29"/>
    <x v="1"/>
  </r>
  <r>
    <s v="Tops White Computer Printout Paper"/>
    <n v="321.82780000000002"/>
    <x v="1"/>
  </r>
  <r>
    <s v="Tops Wirebound Message Log Books"/>
    <n v="29.280999999999999"/>
    <x v="0"/>
  </r>
  <r>
    <s v="Toshiba IPT2010-SD IP Telephone"/>
    <n v="425.30939999999998"/>
    <x v="1"/>
  </r>
  <r>
    <s v="Translucent Push Pins by OIC"/>
    <n v="5.8410000000000002"/>
    <x v="0"/>
  </r>
  <r>
    <s v="Trav-L-File Heavy-Duty Shuttle II, Black"/>
    <n v="278.84800000000001"/>
    <x v="1"/>
  </r>
  <r>
    <s v="Trimflex Flexible Post Binders"/>
    <n v="112.88639999999999"/>
    <x v="1"/>
  </r>
  <r>
    <s v="Tripp Lite Isotel 6 Outlet Surge Protector with Fax/Modem Protection"/>
    <n v="74.993100000000013"/>
    <x v="0"/>
  </r>
  <r>
    <s v="Tripp Lite Isotel 8 Ultra 8 Outlet Metal Surge"/>
    <n v="-17.032800000000009"/>
    <x v="0"/>
  </r>
  <r>
    <s v="Tripp Lite TLP810NET Broadband Surge for Modem/Fax"/>
    <n v="130.48320000000001"/>
    <x v="1"/>
  </r>
  <r>
    <s v="Tuf-Vin Binders"/>
    <n v="234.3236"/>
    <x v="1"/>
  </r>
  <r>
    <s v="Tuff Stuff Recycled Round Ring Binders"/>
    <n v="23.955400000000001"/>
    <x v="0"/>
  </r>
  <r>
    <s v="Turquoise Lead Holder with Pocket Clip"/>
    <n v="10.586"/>
    <x v="0"/>
  </r>
  <r>
    <s v="Tyvek  Top-Opening Peel &amp; Seel  Envelopes, Gray"/>
    <n v="274.94099999999997"/>
    <x v="1"/>
  </r>
  <r>
    <s v="Tyvek  Top-Opening Peel &amp; Seel Envelopes, Plain White"/>
    <n v="225.0504"/>
    <x v="1"/>
  </r>
  <r>
    <s v="Tyvek Interoffice Envelopes, 9 1/2&quot; x 12 1/2&quot;, 100/Box"/>
    <n v="421.98160000000001"/>
    <x v="1"/>
  </r>
  <r>
    <s v="Tyvek Side-Opening Peel &amp; Seel Expanding Envelopes"/>
    <n v="570.024"/>
    <x v="2"/>
  </r>
  <r>
    <s v="Ultra Commercial Grade Dual Valve Door Closer"/>
    <n v="9.5736000000000008"/>
    <x v="0"/>
  </r>
  <r>
    <s v="Ultra Door Kickplate, 8&quot;H x 34&quot;W"/>
    <n v="27.692"/>
    <x v="0"/>
  </r>
  <r>
    <s v="Ultra Door Pull Handle"/>
    <n v="74.797200000000004"/>
    <x v="0"/>
  </r>
  <r>
    <s v="Ultra Door Push Plate"/>
    <n v="37.414200000000001"/>
    <x v="0"/>
  </r>
  <r>
    <s v="UniKeep View Case Binders"/>
    <n v="-5.4767999999999999"/>
    <x v="0"/>
  </r>
  <r>
    <s v="Universal Premium White Copier/Laser Paper (20Lb. and 87 Bright)"/>
    <n v="55.972799999999992"/>
    <x v="0"/>
  </r>
  <r>
    <s v="Universal Recycled Hanging Pressboard Report Binders, Letter Size"/>
    <n v="8.6380000000000035"/>
    <x v="0"/>
  </r>
  <r>
    <s v="Universal Ultra Bright White Copier/Laser Paper, 8 1/2&quot; x 11&quot;, Ream"/>
    <n v="5.6375999999999999"/>
    <x v="0"/>
  </r>
  <r>
    <s v="Unpadded Memo Slips"/>
    <n v="8.3580000000000005"/>
    <x v="0"/>
  </r>
  <r>
    <s v="V7 USB Numeric Keypad"/>
    <n v="-58.783199999999987"/>
    <x v="0"/>
  </r>
  <r>
    <s v="VTech DS6151"/>
    <n v="478.76200000000011"/>
    <x v="1"/>
  </r>
  <r>
    <s v="VariCap6 Expandable Binder"/>
    <n v="31.14"/>
    <x v="0"/>
  </r>
  <r>
    <s v="Verbatim 25 GB 6x Blu-ray Single Layer Recordable Disc, 1/Pack"/>
    <n v="11.473000000000001"/>
    <x v="0"/>
  </r>
  <r>
    <s v="Verbatim 25 GB 6x Blu-ray Single Layer Recordable Disc, 10/Pack"/>
    <n v="41.955800000000004"/>
    <x v="0"/>
  </r>
  <r>
    <s v="Verbatim 25 GB 6x Blu-ray Single Layer Recordable Disc, 25/Pack"/>
    <n v="91.040400000000005"/>
    <x v="0"/>
  </r>
  <r>
    <s v="Verbatim 25 GB 6x Blu-ray Single Layer Recordable Disc, 3/Pack"/>
    <n v="67.104000000000013"/>
    <x v="0"/>
  </r>
  <r>
    <s v="Verbatim Slim CD and DVD Storage Cases, 50/Pack"/>
    <n v="16.155999999999999"/>
    <x v="0"/>
  </r>
  <r>
    <s v="Vinyl Coated Wire Paper Clips in Organizer Box, 800/Box"/>
    <n v="119.7364"/>
    <x v="1"/>
  </r>
  <r>
    <s v="Vinyl Sectional Post Binders"/>
    <n v="147.03"/>
    <x v="1"/>
  </r>
  <r>
    <s v="Vtech AT&amp;T CL2940 Corded Speakerphone, Black"/>
    <n v="24.291899999999998"/>
    <x v="0"/>
  </r>
  <r>
    <s v="Vtech CS6719"/>
    <n v="418.51639999999998"/>
    <x v="1"/>
  </r>
  <r>
    <s v="WD My Passport Ultra 1TB Portable External Hard Drive"/>
    <n v="33.81"/>
    <x v="0"/>
  </r>
  <r>
    <s v="WD My Passport Ultra 2TB Portable External Hard Drive"/>
    <n v="499.8"/>
    <x v="1"/>
  </r>
  <r>
    <s v="WD My Passport Ultra 500GB Portable External Hard Drive"/>
    <n v="120.36"/>
    <x v="1"/>
  </r>
  <r>
    <s v="Wasp CCD Handheld Bar Code Reader"/>
    <n v="44.868000000000002"/>
    <x v="0"/>
  </r>
  <r>
    <s v="Wausau Papers Astrobrights Colored Envelopes"/>
    <n v="22.783799999999999"/>
    <x v="0"/>
  </r>
  <r>
    <s v="Westinghouse Clip-On Gooseneck Lamps"/>
    <n v="44.193600000000004"/>
    <x v="0"/>
  </r>
  <r>
    <s v="Westinghouse Floor Lamp with Metal Mesh Shade, Black"/>
    <n v="38.623899999999992"/>
    <x v="0"/>
  </r>
  <r>
    <s v="Westinghouse Mesh Shade Clip-On Gooseneck Lamp, Black"/>
    <n v="22.058399999999999"/>
    <x v="0"/>
  </r>
  <r>
    <s v="Weyerhaeuser First Choice Laser/Copy Paper (20Lb. and 88 Bright)"/>
    <n v="71.28"/>
    <x v="0"/>
  </r>
  <r>
    <s v="While You Were Out Pads, 50 per Pad, 4 x 5 1/4, Green Cycle"/>
    <n v="18.778099999999998"/>
    <x v="0"/>
  </r>
  <r>
    <s v="White Business Envelopes with Contemporary Seam, Recycled White Business Envelopes"/>
    <n v="150.97200000000001"/>
    <x v="1"/>
  </r>
  <r>
    <s v="White Computer Printout Paper by Universal"/>
    <n v="547.67880000000002"/>
    <x v="2"/>
  </r>
  <r>
    <s v="White Dual Perf Computer Printout Paper, 2700 Sheets, 1 Part, Heavyweight, 20 lbs., 14 7/8 x 11"/>
    <n v="408.26039999999989"/>
    <x v="1"/>
  </r>
  <r>
    <s v="White Envelopes, White Envelopes with Clear Poly Window"/>
    <n v="139.08000000000001"/>
    <x v="1"/>
  </r>
  <r>
    <s v="White GlueTop Scratch Pads"/>
    <n v="72.793599999999998"/>
    <x v="0"/>
  </r>
  <r>
    <s v="Wi-Ex zBoost YX540 Cellular Phone Signal Booster"/>
    <n v="540.01499999999999"/>
    <x v="2"/>
  </r>
  <r>
    <s v="Wilson Electronics DB Pro Signal Booster"/>
    <n v="515.52"/>
    <x v="2"/>
  </r>
  <r>
    <s v="Wilson Jones 1&quot; Hanging DublLock Ring Binders"/>
    <n v="-8.5535999999999994"/>
    <x v="0"/>
  </r>
  <r>
    <s v="Wilson Jones 14 Line Acrylic Coated Pressboard Data Binders"/>
    <n v="35.297400000000003"/>
    <x v="0"/>
  </r>
  <r>
    <s v="Wilson Jones Active Use Binders"/>
    <n v="37.055199999999999"/>
    <x v="0"/>
  </r>
  <r>
    <s v="Wilson Jones Century Plastic Molded Ring Binders"/>
    <n v="55.248199999999997"/>
    <x v="0"/>
  </r>
  <r>
    <s v="Wilson Jones Clip &amp; Carry Folder Binder Tool for Ring Binders, Clear"/>
    <n v="50.227999999999987"/>
    <x v="0"/>
  </r>
  <r>
    <s v="Wilson Jones Custom Binder Spines &amp; Labels"/>
    <n v="-19.692799999999998"/>
    <x v="0"/>
  </r>
  <r>
    <s v="Wilson Jones DublLock D-Ring Binders"/>
    <n v="15.525"/>
    <x v="0"/>
  </r>
  <r>
    <s v="Wilson Jones Easy Flow II Sheet Lifters"/>
    <n v="5.6159999999999997"/>
    <x v="0"/>
  </r>
  <r>
    <s v="Wilson Jones Elliptical Ring 3 1/2&quot; Capacity Binders, 800 sheets"/>
    <n v="-82.175999999999988"/>
    <x v="0"/>
  </r>
  <r>
    <s v="Wilson Jones Four-Pocket Poly Binders"/>
    <n v="5.4282000000000004"/>
    <x v="0"/>
  </r>
  <r>
    <s v="Wilson Jones Hanging Recycled Pressboard Data Binders"/>
    <n v="1.7807999999999991"/>
    <x v="0"/>
  </r>
  <r>
    <s v="Wilson Jones Hanging View Binder, White, 1&quot;"/>
    <n v="55.238"/>
    <x v="0"/>
  </r>
  <r>
    <s v="Wilson Jones Heavy-Duty Casebound Ring Binders with Metal Hinges"/>
    <n v="157.95840000000001"/>
    <x v="1"/>
  </r>
  <r>
    <s v="Wilson Jones Impact Binders"/>
    <n v="23.724399999999999"/>
    <x v="0"/>
  </r>
  <r>
    <s v="Wilson Jones International Size A4 Ring Binders"/>
    <n v="12.802"/>
    <x v="0"/>
  </r>
  <r>
    <s v="Wilson Jones Leather-Like Binders with DublLock Round Rings"/>
    <n v="25.491599999999998"/>
    <x v="0"/>
  </r>
  <r>
    <s v="Wilson Jones Ledger-Size, Piano-Hinge Binder, 2&quot;, Blue"/>
    <n v="215.5548"/>
    <x v="1"/>
  </r>
  <r>
    <s v="Wilson Jones Legal Size Ring Binders"/>
    <n v="48.378000000000043"/>
    <x v="0"/>
  </r>
  <r>
    <s v="Wilson Jones Standard D-Ring Binders"/>
    <n v="26.9192"/>
    <x v="0"/>
  </r>
  <r>
    <s v="Wilson Jones Suede Grain Vinyl Binders"/>
    <n v="5.0596000000000014"/>
    <x v="0"/>
  </r>
  <r>
    <s v="Wilson Jones Turn Tabs Binder Tool for Ring Binders"/>
    <n v="58.514800000000001"/>
    <x v="0"/>
  </r>
  <r>
    <s v="Wilson Jones data.warehouse D-Ring Binders with DublLock"/>
    <n v="15.3078"/>
    <x v="0"/>
  </r>
  <r>
    <s v="Wilson Jones “Snap” Scratch Pad Binder Tool for Ring Binders"/>
    <n v="30.74"/>
    <x v="0"/>
  </r>
  <r>
    <s v="Wilson SignalBoost 841262 DB PRO Amplifier Kit"/>
    <n v="1043.855"/>
    <x v="2"/>
  </r>
  <r>
    <s v="Wirebound Four 2-3/4 x 5 Forms per Page, 400 Sets per Book"/>
    <n v="47.600999999999999"/>
    <x v="0"/>
  </r>
  <r>
    <s v="Wirebound Message Book, 4 per Page"/>
    <n v="87.694499999999991"/>
    <x v="0"/>
  </r>
  <r>
    <s v="Wirebound Message Books, 2 7/8&quot; x 5&quot;, 3 Forms per Page"/>
    <n v="44.985600000000012"/>
    <x v="0"/>
  </r>
  <r>
    <s v="Wirebound Message Books, 5-1/2 x 4 Forms, 2 or 4 Forms per Page"/>
    <n v="31.309200000000001"/>
    <x v="0"/>
  </r>
  <r>
    <s v="Wirebound Message Books, Four 2 3/4 x 5 Forms per Page, 200 Sets per Book"/>
    <n v="47.223000000000013"/>
    <x v="0"/>
  </r>
  <r>
    <s v="Wirebound Message Books, Four 2 3/4 x 5 White Forms per Page"/>
    <n v="95.265600000000006"/>
    <x v="0"/>
  </r>
  <r>
    <s v="Wirebound Message Books, Four 2 3/4&quot; x 5&quot; Forms per Page, 600 Sets per Book"/>
    <n v="109.01519999999999"/>
    <x v="1"/>
  </r>
  <r>
    <s v="Wirebound Message Books, Two 4 1/4&quot; x 5&quot; Forms per Page"/>
    <n v="49.084499999999998"/>
    <x v="0"/>
  </r>
  <r>
    <s v="Wirebound Message Forms, Four 2 3/4 x 5 Forms per Page, Pink Paper"/>
    <n v="14.297499999999999"/>
    <x v="0"/>
  </r>
  <r>
    <s v="Wirebound Service Call Books, 5 1/2&quot; x 4&quot;"/>
    <n v="60.403199999999998"/>
    <x v="0"/>
  </r>
  <r>
    <s v="Wirebound Voice Message Log Book"/>
    <n v="4.9504000000000001"/>
    <x v="0"/>
  </r>
  <r>
    <s v="Wireless Extenders zBoost YX545 SOHO Signal Booster"/>
    <n v="733.28120000000013"/>
    <x v="2"/>
  </r>
  <r>
    <s v="Woodgrain Magazine Files by Perma"/>
    <n v="2.6223999999999998"/>
    <x v="0"/>
  </r>
  <r>
    <s v="X-Rack File for Hanging Folders"/>
    <n v="67.740000000000009"/>
    <x v="0"/>
  </r>
  <r>
    <s v="Xblue XB-1670-86 X16 Small Office Telephone - Titanium"/>
    <n v="132.2895"/>
    <x v="1"/>
  </r>
  <r>
    <s v="Xerox 188"/>
    <n v="97.524000000000001"/>
    <x v="0"/>
  </r>
  <r>
    <s v="Xerox 1880"/>
    <n v="285.64640000000003"/>
    <x v="1"/>
  </r>
  <r>
    <s v="Xerox 1881"/>
    <n v="207.04079999999999"/>
    <x v="1"/>
  </r>
  <r>
    <s v="Xerox 1882"/>
    <n v="273.18239999999997"/>
    <x v="1"/>
  </r>
  <r>
    <s v="Xerox 1883"/>
    <n v="354.01960000000003"/>
    <x v="1"/>
  </r>
  <r>
    <s v="Xerox 1884"/>
    <n v="204.59520000000001"/>
    <x v="1"/>
  </r>
  <r>
    <s v="Xerox 1885"/>
    <n v="461.18400000000003"/>
    <x v="1"/>
  </r>
  <r>
    <s v="Xerox 1886"/>
    <n v="302.72800000000001"/>
    <x v="1"/>
  </r>
  <r>
    <s v="Xerox 1887"/>
    <n v="216.25800000000001"/>
    <x v="1"/>
  </r>
  <r>
    <s v="Xerox 1888"/>
    <n v="539.26560000000006"/>
    <x v="2"/>
  </r>
  <r>
    <s v="Xerox 1889"/>
    <n v="236.328"/>
    <x v="1"/>
  </r>
  <r>
    <s v="Xerox 189"/>
    <n v="746.53199999999993"/>
    <x v="2"/>
  </r>
  <r>
    <s v="Xerox 1890"/>
    <n v="122.35"/>
    <x v="1"/>
  </r>
  <r>
    <s v="Xerox 1891"/>
    <n v="542.90099999999995"/>
    <x v="2"/>
  </r>
  <r>
    <s v="Xerox 1892"/>
    <n v="79.457999999999998"/>
    <x v="0"/>
  </r>
  <r>
    <s v="Xerox 1893"/>
    <n v="619.35889999999984"/>
    <x v="2"/>
  </r>
  <r>
    <s v="Xerox 1894"/>
    <n v="78.79679999999999"/>
    <x v="0"/>
  </r>
  <r>
    <s v="Xerox 1895"/>
    <n v="82.822999999999993"/>
    <x v="0"/>
  </r>
  <r>
    <s v="Xerox 1896"/>
    <n v="22.477499999999999"/>
    <x v="0"/>
  </r>
  <r>
    <s v="Xerox 1897"/>
    <n v="27.091200000000001"/>
    <x v="0"/>
  </r>
  <r>
    <s v="Xerox 1898"/>
    <n v="120.7744"/>
    <x v="1"/>
  </r>
  <r>
    <s v="Xerox 1899"/>
    <n v="28.090800000000002"/>
    <x v="0"/>
  </r>
  <r>
    <s v="Xerox 19"/>
    <n v="159.547"/>
    <x v="1"/>
  </r>
  <r>
    <s v="Xerox 190"/>
    <n v="14.0436"/>
    <x v="0"/>
  </r>
  <r>
    <s v="Xerox 1900"/>
    <n v="44.084000000000003"/>
    <x v="0"/>
  </r>
  <r>
    <s v="Xerox 1901"/>
    <n v="5.28"/>
    <x v="0"/>
  </r>
  <r>
    <s v="Xerox 1902"/>
    <n v="32.889600000000002"/>
    <x v="0"/>
  </r>
  <r>
    <s v="Xerox 1903"/>
    <n v="65.540800000000004"/>
    <x v="0"/>
  </r>
  <r>
    <s v="Xerox 1905"/>
    <n v="68.947200000000009"/>
    <x v="0"/>
  </r>
  <r>
    <s v="Xerox 1906"/>
    <n v="497.57760000000002"/>
    <x v="1"/>
  </r>
  <r>
    <s v="Xerox 1907"/>
    <n v="57.716000000000001"/>
    <x v="0"/>
  </r>
  <r>
    <s v="Xerox 1908"/>
    <n v="799.39440000000002"/>
    <x v="2"/>
  </r>
  <r>
    <s v="Xerox 1909"/>
    <n v="400.976"/>
    <x v="1"/>
  </r>
  <r>
    <s v="Xerox 191"/>
    <n v="354.24540000000002"/>
    <x v="1"/>
  </r>
  <r>
    <s v="Xerox 1910"/>
    <n v="236.35679999999999"/>
    <x v="1"/>
  </r>
  <r>
    <s v="Xerox 1911"/>
    <n v="279.73599999999999"/>
    <x v="1"/>
  </r>
  <r>
    <s v="Xerox 1912"/>
    <n v="92.573600000000013"/>
    <x v="0"/>
  </r>
  <r>
    <s v="Xerox 1913"/>
    <n v="375.04480000000001"/>
    <x v="1"/>
  </r>
  <r>
    <s v="Xerox 1914"/>
    <n v="423.74159999999989"/>
    <x v="1"/>
  </r>
  <r>
    <s v="Xerox 1915"/>
    <n v="1262.394"/>
    <x v="2"/>
  </r>
  <r>
    <s v="Xerox 1916"/>
    <n v="342.58"/>
    <x v="1"/>
  </r>
  <r>
    <s v="Xerox 1917"/>
    <n v="574.6925"/>
    <x v="2"/>
  </r>
  <r>
    <s v="Xerox 1918"/>
    <n v="75.9696"/>
    <x v="0"/>
  </r>
  <r>
    <s v="Xerox 1919"/>
    <n v="729.62199999999996"/>
    <x v="2"/>
  </r>
  <r>
    <s v="Xerox 192"/>
    <n v="68.428799999999995"/>
    <x v="0"/>
  </r>
  <r>
    <s v="Xerox 1920"/>
    <n v="40.365000000000002"/>
    <x v="0"/>
  </r>
  <r>
    <s v="Xerox 1921"/>
    <n v="17.482500000000002"/>
    <x v="0"/>
  </r>
  <r>
    <s v="Xerox 1922"/>
    <n v="4.3326000000000002"/>
    <x v="0"/>
  </r>
  <r>
    <s v="Xerox 1923"/>
    <n v="39.278399999999998"/>
    <x v="0"/>
  </r>
  <r>
    <s v="Xerox 1924"/>
    <n v="24.738399999999999"/>
    <x v="0"/>
  </r>
  <r>
    <s v="Xerox 1925"/>
    <n v="182.78200000000001"/>
    <x v="1"/>
  </r>
  <r>
    <s v="Xerox 1926"/>
    <n v="16.3842"/>
    <x v="0"/>
  </r>
  <r>
    <s v="Xerox 1927"/>
    <n v="22.684000000000001"/>
    <x v="0"/>
  </r>
  <r>
    <s v="Xerox 1928"/>
    <n v="49.103999999999999"/>
    <x v="0"/>
  </r>
  <r>
    <s v="Xerox 1929"/>
    <n v="154.39840000000001"/>
    <x v="1"/>
  </r>
  <r>
    <s v="Xerox 193"/>
    <n v="38.092599999999997"/>
    <x v="0"/>
  </r>
  <r>
    <s v="Xerox 1930"/>
    <n v="59.3568"/>
    <x v="0"/>
  </r>
  <r>
    <s v="Xerox 1931"/>
    <n v="88.6464"/>
    <x v="0"/>
  </r>
  <r>
    <s v="Xerox 1932"/>
    <n v="28.706399999999999"/>
    <x v="0"/>
  </r>
  <r>
    <s v="Xerox 1933"/>
    <n v="138.51840000000001"/>
    <x v="1"/>
  </r>
  <r>
    <s v="Xerox 1934"/>
    <n v="526.2120000000001"/>
    <x v="2"/>
  </r>
  <r>
    <s v="Xerox 1935"/>
    <n v="239.00280000000001"/>
    <x v="1"/>
  </r>
  <r>
    <s v="Xerox 1936"/>
    <n v="60.539400000000001"/>
    <x v="0"/>
  </r>
  <r>
    <s v="Xerox 1937"/>
    <n v="199.84639999999999"/>
    <x v="1"/>
  </r>
  <r>
    <s v="Xerox 1938"/>
    <n v="93.884"/>
    <x v="0"/>
  </r>
  <r>
    <s v="Xerox 1939"/>
    <n v="200.32320000000001"/>
    <x v="1"/>
  </r>
  <r>
    <s v="Xerox 194"/>
    <n v="184.1936"/>
    <x v="1"/>
  </r>
  <r>
    <s v="Xerox 1940"/>
    <n v="279.1968"/>
    <x v="1"/>
  </r>
  <r>
    <s v="Xerox 1941"/>
    <n v="704.59199999999998"/>
    <x v="2"/>
  </r>
  <r>
    <s v="Xerox 1942"/>
    <n v="278.95800000000003"/>
    <x v="1"/>
  </r>
  <r>
    <s v="Xerox 1943"/>
    <n v="328.67520000000002"/>
    <x v="1"/>
  </r>
  <r>
    <s v="Xerox 1944"/>
    <n v="257.3664"/>
    <x v="1"/>
  </r>
  <r>
    <s v="Xerox 1945"/>
    <n v="756.26549999999997"/>
    <x v="2"/>
  </r>
  <r>
    <s v="Xerox 1946"/>
    <n v="35.251199999999997"/>
    <x v="0"/>
  </r>
  <r>
    <s v="Xerox 1947"/>
    <n v="54.119"/>
    <x v="0"/>
  </r>
  <r>
    <s v="Xerox 1948"/>
    <n v="67.432500000000005"/>
    <x v="0"/>
  </r>
  <r>
    <s v="Xerox 1949"/>
    <n v="43.425600000000003"/>
    <x v="0"/>
  </r>
  <r>
    <s v="Xerox 195"/>
    <n v="70.540800000000004"/>
    <x v="0"/>
  </r>
  <r>
    <s v="Xerox 1950"/>
    <n v="23.177800000000001"/>
    <x v="0"/>
  </r>
  <r>
    <s v="Xerox 1951"/>
    <n v="244.74199999999999"/>
    <x v="1"/>
  </r>
  <r>
    <s v="Xerox 1952"/>
    <n v="44.82"/>
    <x v="0"/>
  </r>
  <r>
    <s v="Xerox 1953"/>
    <n v="18.832000000000001"/>
    <x v="0"/>
  </r>
  <r>
    <s v="Xerox 1954"/>
    <n v="32.208000000000013"/>
    <x v="0"/>
  </r>
  <r>
    <s v="Xerox 1955"/>
    <n v="59.384"/>
    <x v="0"/>
  </r>
  <r>
    <s v="Xerox 1956"/>
    <n v="40.903199999999998"/>
    <x v="0"/>
  </r>
  <r>
    <s v="Xerox 1957"/>
    <n v="39.7224"/>
    <x v="0"/>
  </r>
  <r>
    <s v="Xerox 1958"/>
    <n v="15.552"/>
    <x v="0"/>
  </r>
  <r>
    <s v="Xerox 1959"/>
    <n v="60.654400000000003"/>
    <x v="0"/>
  </r>
  <r>
    <s v="Xerox 196"/>
    <n v="39.419600000000003"/>
    <x v="0"/>
  </r>
  <r>
    <s v="Xerox 1960"/>
    <n v="334.58399999999989"/>
    <x v="1"/>
  </r>
  <r>
    <s v="Xerox 1962"/>
    <n v="43.655999999999999"/>
    <x v="0"/>
  </r>
  <r>
    <s v="Xerox 1963"/>
    <n v="27.72"/>
    <x v="0"/>
  </r>
  <r>
    <s v="Xerox 1964"/>
    <n v="314.73520000000002"/>
    <x v="1"/>
  </r>
  <r>
    <s v="Xerox 1965"/>
    <n v="25.713999999999999"/>
    <x v="0"/>
  </r>
  <r>
    <s v="Xerox 1966"/>
    <n v="32.788800000000002"/>
    <x v="0"/>
  </r>
  <r>
    <s v="Xerox 1967"/>
    <n v="38.880000000000003"/>
    <x v="0"/>
  </r>
  <r>
    <s v="Xerox 1968"/>
    <n v="75.350400000000008"/>
    <x v="0"/>
  </r>
  <r>
    <s v="Xerox 1969"/>
    <n v="5.6643999999999997"/>
    <x v="0"/>
  </r>
  <r>
    <s v="Xerox 197"/>
    <n v="195.17400000000001"/>
    <x v="1"/>
  </r>
  <r>
    <s v="Xerox 1970"/>
    <n v="43.525199999999998"/>
    <x v="0"/>
  </r>
  <r>
    <s v="Xerox 1971"/>
    <n v="47.936"/>
    <x v="0"/>
  </r>
  <r>
    <s v="Xerox 1972"/>
    <n v="17.423999999999999"/>
    <x v="0"/>
  </r>
  <r>
    <s v="Xerox 1973"/>
    <n v="70.347200000000001"/>
    <x v="0"/>
  </r>
  <r>
    <s v="Xerox 1974"/>
    <n v="26.91"/>
    <x v="0"/>
  </r>
  <r>
    <s v="Xerox 1975"/>
    <n v="30.3264"/>
    <x v="0"/>
  </r>
  <r>
    <s v="Xerox 1976"/>
    <n v="12.700799999999999"/>
    <x v="0"/>
  </r>
  <r>
    <s v="Xerox 1977"/>
    <n v="61.456000000000003"/>
    <x v="0"/>
  </r>
  <r>
    <s v="Xerox 1978"/>
    <n v="74.330800000000011"/>
    <x v="0"/>
  </r>
  <r>
    <s v="Xerox 1979"/>
    <n v="140.959"/>
    <x v="1"/>
  </r>
  <r>
    <s v="Xerox 198"/>
    <n v="33.465600000000002"/>
    <x v="0"/>
  </r>
  <r>
    <s v="Xerox 1980"/>
    <n v="15.407999999999999"/>
    <x v="0"/>
  </r>
  <r>
    <s v="Xerox 1981"/>
    <n v="30.096"/>
    <x v="0"/>
  </r>
  <r>
    <s v="Xerox 1982"/>
    <n v="89.532799999999995"/>
    <x v="0"/>
  </r>
  <r>
    <s v="Xerox 1983"/>
    <n v="14.651"/>
    <x v="0"/>
  </r>
  <r>
    <s v="Xerox 1984"/>
    <n v="6.3503999999999996"/>
    <x v="0"/>
  </r>
  <r>
    <s v="Xerox 1985"/>
    <n v="9.0719999999999992"/>
    <x v="0"/>
  </r>
  <r>
    <s v="Xerox 1986"/>
    <n v="40.347200000000001"/>
    <x v="0"/>
  </r>
  <r>
    <s v="Xerox 1987"/>
    <n v="45.315199999999997"/>
    <x v="0"/>
  </r>
  <r>
    <s v="Xerox 1988"/>
    <n v="404.28899999999999"/>
    <x v="1"/>
  </r>
  <r>
    <s v="Xerox 1989"/>
    <n v="2.6892"/>
    <x v="0"/>
  </r>
  <r>
    <s v="Xerox 199"/>
    <n v="19.687999999999999"/>
    <x v="0"/>
  </r>
  <r>
    <s v="Xerox 1990"/>
    <n v="13.728"/>
    <x v="0"/>
  </r>
  <r>
    <s v="Xerox 1991"/>
    <n v="254.89439999999999"/>
    <x v="1"/>
  </r>
  <r>
    <s v="Xerox 1992"/>
    <n v="40.364999999999988"/>
    <x v="0"/>
  </r>
  <r>
    <s v="Xerox 1993"/>
    <n v="68.428799999999995"/>
    <x v="0"/>
  </r>
  <r>
    <s v="Xerox 1994"/>
    <n v="32.659199999999998"/>
    <x v="0"/>
  </r>
  <r>
    <s v="Xerox 1995"/>
    <n v="47.692799999999991"/>
    <x v="0"/>
  </r>
  <r>
    <s v="Xerox 1996"/>
    <n v="81.907200000000003"/>
    <x v="0"/>
  </r>
  <r>
    <s v="Xerox 1997"/>
    <n v="77.759999999999991"/>
    <x v="0"/>
  </r>
  <r>
    <s v="Xerox 1998"/>
    <n v="16.329599999999999"/>
    <x v="0"/>
  </r>
  <r>
    <s v="Xerox 1999"/>
    <n v="41.212799999999987"/>
    <x v="0"/>
  </r>
  <r>
    <s v="Xerox 2"/>
    <n v="53.136000000000003"/>
    <x v="0"/>
  </r>
  <r>
    <s v="Xerox 20"/>
    <n v="3.1103999999999998"/>
    <x v="0"/>
  </r>
  <r>
    <s v="Xerox 200"/>
    <n v="33.695999999999998"/>
    <x v="0"/>
  </r>
  <r>
    <s v="Xerox 2000"/>
    <n v="37.065600000000003"/>
    <x v="0"/>
  </r>
  <r>
    <s v="Xerox 201"/>
    <n v="46.137599999999999"/>
    <x v="0"/>
  </r>
  <r>
    <s v="Xerox 202"/>
    <n v="76.723199999999991"/>
    <x v="0"/>
  </r>
  <r>
    <s v="Xerox 203"/>
    <n v="62.985600000000012"/>
    <x v="0"/>
  </r>
  <r>
    <s v="Xerox 204"/>
    <n v="52.876800000000003"/>
    <x v="0"/>
  </r>
  <r>
    <s v="Xerox 205"/>
    <n v="69.465599999999995"/>
    <x v="0"/>
  </r>
  <r>
    <s v="Xerox 206"/>
    <n v="23.846399999999999"/>
    <x v="0"/>
  </r>
  <r>
    <s v="Xerox 207"/>
    <n v="16.588799999999999"/>
    <x v="0"/>
  </r>
  <r>
    <s v="Xerox 208"/>
    <n v="24.105599999999999"/>
    <x v="0"/>
  </r>
  <r>
    <s v="Xerox 209"/>
    <n v="90.201599999999999"/>
    <x v="0"/>
  </r>
  <r>
    <s v="Xerox 21"/>
    <n v="43.5456"/>
    <x v="0"/>
  </r>
  <r>
    <s v="Xerox 210"/>
    <n v="35.251199999999997"/>
    <x v="0"/>
  </r>
  <r>
    <s v="Xerox 211"/>
    <n v="40.953600000000002"/>
    <x v="0"/>
  </r>
  <r>
    <s v="Xerox 212"/>
    <n v="57.024000000000001"/>
    <x v="0"/>
  </r>
  <r>
    <s v="Xerox 213"/>
    <n v="50.803199999999997"/>
    <x v="0"/>
  </r>
  <r>
    <s v="Xerox 214"/>
    <n v="90.460799999999992"/>
    <x v="0"/>
  </r>
  <r>
    <s v="Xerox 215"/>
    <n v="21.7728"/>
    <x v="0"/>
  </r>
  <r>
    <s v="Xerox 216"/>
    <n v="96.94080000000001"/>
    <x v="0"/>
  </r>
  <r>
    <s v="Xerox 217"/>
    <n v="67.391999999999996"/>
    <x v="0"/>
  </r>
  <r>
    <s v="Xerox 218"/>
    <n v="22.2912"/>
    <x v="0"/>
  </r>
  <r>
    <s v="Xerox 219"/>
    <n v="46.655999999999992"/>
    <x v="0"/>
  </r>
  <r>
    <s v="Xerox 22"/>
    <n v="31.363199999999999"/>
    <x v="0"/>
  </r>
  <r>
    <s v="Xerox 220"/>
    <n v="60.911999999999999"/>
    <x v="0"/>
  </r>
  <r>
    <s v="Xerox 221"/>
    <n v="33.177599999999998"/>
    <x v="0"/>
  </r>
  <r>
    <s v="Xerox 222"/>
    <n v="60.652799999999999"/>
    <x v="0"/>
  </r>
  <r>
    <s v="Xerox 223"/>
    <n v="27.993600000000001"/>
    <x v="0"/>
  </r>
  <r>
    <s v="Xerox 224"/>
    <n v="38.620800000000003"/>
    <x v="0"/>
  </r>
  <r>
    <s v="Xerox 225"/>
    <n v="85.79519999999998"/>
    <x v="0"/>
  </r>
  <r>
    <s v="Xerox 226"/>
    <n v="155.7792"/>
    <x v="1"/>
  </r>
  <r>
    <s v="Xerox 227"/>
    <n v="46.396800000000013"/>
    <x v="0"/>
  </r>
  <r>
    <s v="Xerox 228"/>
    <n v="46.655999999999999"/>
    <x v="0"/>
  </r>
  <r>
    <s v="Xerox 229"/>
    <n v="34.991999999999997"/>
    <x v="0"/>
  </r>
  <r>
    <s v="Xerox 23"/>
    <n v="63.763199999999998"/>
    <x v="0"/>
  </r>
  <r>
    <s v="Xerox 230"/>
    <n v="56.246399999999987"/>
    <x v="0"/>
  </r>
  <r>
    <s v="Xerox 231"/>
    <n v="31.881599999999999"/>
    <x v="0"/>
  </r>
  <r>
    <s v="Xerox 232"/>
    <n v="56.505599999999987"/>
    <x v="0"/>
  </r>
  <r>
    <s v="Xerox 4200 Series MultiUse Premium Copy Paper (20Lb. and 84 Bright)"/>
    <n v="52.272000000000013"/>
    <x v="0"/>
  </r>
  <r>
    <s v="Xerox Blank Computer Paper"/>
    <n v="46.953000000000003"/>
    <x v="0"/>
  </r>
  <r>
    <s v="Xerox Color Copier Paper, 11&quot; x 17&quot;, Ream"/>
    <n v="260.83280000000002"/>
    <x v="1"/>
  </r>
  <r>
    <s v="Xerox WorkCentre 6505DN Laser Multifunction Printer"/>
    <n v="-251.9958"/>
    <x v="0"/>
  </r>
  <r>
    <s v="Xiaomi Mi3"/>
    <n v="592.78959999999995"/>
    <x v="2"/>
  </r>
  <r>
    <s v="XtraLife ClearVue Slant-D Ring Binder, White, 3&quot;"/>
    <n v="76.923200000000008"/>
    <x v="0"/>
  </r>
  <r>
    <s v="XtraLife ClearVue Slant-D Ring Binders by Cardinal"/>
    <n v="-13.327999999999999"/>
    <x v="0"/>
  </r>
  <r>
    <s v="Zebra GK420t Direct Thermal/Thermal Transfer Printer"/>
    <n v="-938.28"/>
    <x v="0"/>
  </r>
  <r>
    <s v="Zebra GX420t Direct Thermal/Thermal Transfer Printer"/>
    <n v="509.71199999999999"/>
    <x v="2"/>
  </r>
  <r>
    <s v="Zebra ZM400 Thermal Label Printer"/>
    <n v="3343.5360000000001"/>
    <x v="2"/>
  </r>
  <r>
    <s v="Zebra Zazzle Fluorescent Highlighters"/>
    <n v="20.672000000000001"/>
    <x v="0"/>
  </r>
  <r>
    <s v="Zipper Ring Binder Pockets"/>
    <n v="11.731199999999999"/>
    <x v="0"/>
  </r>
  <r>
    <s v="i.Sound Portable Power - 8000 mAh"/>
    <n v="-58.818899999999992"/>
    <x v="0"/>
  </r>
  <r>
    <s v="iHome FM Clock Radio with Lightning Dock"/>
    <n v="17.497499999999999"/>
    <x v="0"/>
  </r>
  <r>
    <s v="iKross Bluetooth Portable Keyboard + Cell Phone Stand Holder + Brush for Apple iPhone 5S 5C 5, 4S 4"/>
    <n v="115.64400000000001"/>
    <x v="1"/>
  </r>
  <r>
    <s v="iOttie HLCRIO102 Car Mount"/>
    <n v="-11.994"/>
    <x v="0"/>
  </r>
  <r>
    <s v="iOttie XL Car Mount"/>
    <n v="-50.3748"/>
    <x v="0"/>
  </r>
  <r>
    <s v="invisibleSHIELD by ZAGG Smudge-Free Screen Protector"/>
    <n v="171.26480000000001"/>
    <x v="1"/>
  </r>
  <r>
    <s v="netTALK DUO VoIP Telephone Service"/>
    <n v="430.4180000000000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104D3-FB86-430E-849A-081EE0DE5F7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E8:G12" firstHeaderRow="0" firstDataRow="1" firstDataCol="1"/>
  <pivotFields count="4">
    <pivotField showAll="0"/>
    <pivotField axis="axisRow" showAll="0">
      <items count="4">
        <item x="1"/>
        <item x="2"/>
        <item x="0"/>
        <item t="default"/>
      </items>
    </pivotField>
    <pivotField dataField="1" showAll="0">
      <items count="4">
        <item x="2"/>
        <item x="1"/>
        <item x="0"/>
        <item t="default"/>
      </items>
    </pivotField>
    <pivotField dataField="1" showAll="0">
      <items count="4">
        <item x="1"/>
        <item x="2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" baseField="0" baseItem="0"/>
    <dataField name="Sum of Profit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363EC2-C44D-4EA9-8247-86C5D2A4B5CF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F3:K17" firstHeaderRow="1" firstDataRow="2" firstDataCol="1"/>
  <pivotFields count="4">
    <pivotField showAll="0"/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3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31516B-AFAE-4964-A402-9D1AC3792880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J3:K7" firstHeaderRow="1" firstDataRow="1" firstDataCol="1"/>
  <pivotFields count="3">
    <pivotField dataField="1"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duct Name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C25" sqref="C25"/>
    </sheetView>
  </sheetViews>
  <sheetFormatPr defaultRowHeight="14.4" x14ac:dyDescent="0.3"/>
  <cols>
    <col min="1" max="1" width="8.88671875" customWidth="1"/>
    <col min="2" max="2" width="20.44140625" customWidth="1"/>
  </cols>
  <sheetData>
    <row r="1" spans="1:3" x14ac:dyDescent="0.3">
      <c r="B1" s="3" t="s">
        <v>2258</v>
      </c>
    </row>
    <row r="2" spans="1:3" x14ac:dyDescent="0.3">
      <c r="A2" s="2" t="s">
        <v>2257</v>
      </c>
      <c r="B2" s="1" t="s">
        <v>0</v>
      </c>
    </row>
    <row r="3" spans="1:3" x14ac:dyDescent="0.3">
      <c r="A3">
        <v>1</v>
      </c>
      <c r="B3">
        <v>2297200.86</v>
      </c>
    </row>
    <row r="5" spans="1:3" x14ac:dyDescent="0.3">
      <c r="B5" s="3" t="s">
        <v>2262</v>
      </c>
    </row>
    <row r="6" spans="1:3" x14ac:dyDescent="0.3">
      <c r="A6" s="4" t="s">
        <v>2257</v>
      </c>
      <c r="B6" s="1" t="s">
        <v>1</v>
      </c>
    </row>
    <row r="7" spans="1:3" x14ac:dyDescent="0.3">
      <c r="A7">
        <v>1</v>
      </c>
      <c r="B7">
        <v>286397.02</v>
      </c>
      <c r="C7" t="str">
        <f>IF(B7&gt;250000,"Profitable","Low Profit")</f>
        <v>Profitable</v>
      </c>
    </row>
    <row r="9" spans="1:3" x14ac:dyDescent="0.3">
      <c r="B9" s="3" t="s">
        <v>2261</v>
      </c>
    </row>
    <row r="10" spans="1:3" x14ac:dyDescent="0.3">
      <c r="A10" s="4" t="s">
        <v>2257</v>
      </c>
      <c r="B10" s="1" t="s">
        <v>2</v>
      </c>
    </row>
    <row r="11" spans="1:3" x14ac:dyDescent="0.3">
      <c r="A11">
        <v>1</v>
      </c>
      <c r="B11">
        <v>5009</v>
      </c>
    </row>
    <row r="13" spans="1:3" x14ac:dyDescent="0.3">
      <c r="B13" s="3" t="s">
        <v>2260</v>
      </c>
    </row>
    <row r="14" spans="1:3" x14ac:dyDescent="0.3">
      <c r="A14" s="4" t="s">
        <v>2257</v>
      </c>
      <c r="B14" s="1" t="s">
        <v>3</v>
      </c>
    </row>
    <row r="15" spans="1:3" x14ac:dyDescent="0.3">
      <c r="A15">
        <v>1</v>
      </c>
      <c r="B15">
        <v>793</v>
      </c>
    </row>
    <row r="17" spans="1:2" x14ac:dyDescent="0.3">
      <c r="B17" s="3" t="s">
        <v>2259</v>
      </c>
    </row>
    <row r="18" spans="1:2" x14ac:dyDescent="0.3">
      <c r="A18" s="4" t="s">
        <v>2257</v>
      </c>
      <c r="B18" s="1" t="s">
        <v>4</v>
      </c>
    </row>
    <row r="19" spans="1:2" x14ac:dyDescent="0.3">
      <c r="A19">
        <v>1</v>
      </c>
      <c r="B19">
        <v>458.61</v>
      </c>
    </row>
  </sheetData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"/>
  <sheetViews>
    <sheetView workbookViewId="0">
      <selection activeCell="I15" sqref="I15"/>
    </sheetView>
  </sheetViews>
  <sheetFormatPr defaultRowHeight="14.4" x14ac:dyDescent="0.3"/>
  <cols>
    <col min="2" max="2" width="19.33203125" customWidth="1"/>
    <col min="5" max="5" width="13.109375" bestFit="1" customWidth="1"/>
    <col min="6" max="6" width="11.6640625" bestFit="1" customWidth="1"/>
    <col min="7" max="7" width="12.109375" bestFit="1" customWidth="1"/>
    <col min="11" max="11" width="15" customWidth="1"/>
    <col min="12" max="12" width="14.33203125" customWidth="1"/>
    <col min="13" max="13" width="10.109375" customWidth="1"/>
    <col min="16" max="16" width="68" customWidth="1"/>
  </cols>
  <sheetData>
    <row r="1" spans="1:17" x14ac:dyDescent="0.3">
      <c r="B1" s="3" t="s">
        <v>2263</v>
      </c>
      <c r="K1" s="3" t="s">
        <v>2265</v>
      </c>
      <c r="P1" s="3" t="s">
        <v>2266</v>
      </c>
    </row>
    <row r="2" spans="1:17" x14ac:dyDescent="0.3">
      <c r="A2" s="4" t="s">
        <v>2257</v>
      </c>
      <c r="B2" s="1" t="s">
        <v>5</v>
      </c>
      <c r="C2" s="1" t="s">
        <v>6</v>
      </c>
      <c r="D2" s="5"/>
      <c r="E2" s="4" t="s">
        <v>2257</v>
      </c>
      <c r="F2" s="6" t="s">
        <v>5</v>
      </c>
      <c r="G2" s="6" t="s">
        <v>6</v>
      </c>
      <c r="H2" s="6" t="s">
        <v>10</v>
      </c>
      <c r="I2" s="5"/>
      <c r="J2" s="4" t="s">
        <v>2257</v>
      </c>
      <c r="K2" s="1" t="s">
        <v>11</v>
      </c>
      <c r="L2" s="6" t="s">
        <v>6</v>
      </c>
      <c r="M2" s="11"/>
      <c r="O2" s="4" t="s">
        <v>2257</v>
      </c>
      <c r="P2" s="1" t="s">
        <v>29</v>
      </c>
      <c r="Q2" s="1" t="s">
        <v>6</v>
      </c>
    </row>
    <row r="3" spans="1:17" x14ac:dyDescent="0.3">
      <c r="A3">
        <v>1</v>
      </c>
      <c r="B3" t="s">
        <v>7</v>
      </c>
      <c r="C3">
        <v>836154.03</v>
      </c>
      <c r="E3">
        <v>1</v>
      </c>
      <c r="F3" t="str">
        <f>B3</f>
        <v>Technology</v>
      </c>
      <c r="G3">
        <f>C3</f>
        <v>836154.03</v>
      </c>
      <c r="H3">
        <f>_xlfn.XLOOKUP(B3,$B$9:$B$11,$C$9:$C$11)</f>
        <v>145454.95000000001</v>
      </c>
      <c r="J3">
        <v>1</v>
      </c>
      <c r="K3" t="s">
        <v>12</v>
      </c>
      <c r="L3">
        <v>330007.05</v>
      </c>
      <c r="O3">
        <v>1</v>
      </c>
      <c r="P3" t="s">
        <v>30</v>
      </c>
      <c r="Q3">
        <v>61599.82</v>
      </c>
    </row>
    <row r="4" spans="1:17" x14ac:dyDescent="0.3">
      <c r="A4">
        <v>2</v>
      </c>
      <c r="B4" t="s">
        <v>8</v>
      </c>
      <c r="C4">
        <v>741999.8</v>
      </c>
      <c r="E4">
        <v>2</v>
      </c>
      <c r="F4" t="str">
        <f>B4</f>
        <v>Furniture</v>
      </c>
      <c r="G4">
        <f t="shared" ref="G4:G5" si="0">C4</f>
        <v>741999.8</v>
      </c>
      <c r="H4">
        <f>_xlfn.XLOOKUP(B4,$B$9:$B$11,$C$9:$C$11)</f>
        <v>18451.27</v>
      </c>
      <c r="J4">
        <v>2</v>
      </c>
      <c r="K4" t="s">
        <v>13</v>
      </c>
      <c r="L4">
        <v>328449.09999999998</v>
      </c>
      <c r="O4">
        <v>2</v>
      </c>
      <c r="P4" t="s">
        <v>31</v>
      </c>
      <c r="Q4">
        <v>27453.38</v>
      </c>
    </row>
    <row r="5" spans="1:17" x14ac:dyDescent="0.3">
      <c r="A5">
        <v>3</v>
      </c>
      <c r="B5" t="s">
        <v>9</v>
      </c>
      <c r="C5">
        <v>719047.03</v>
      </c>
      <c r="E5">
        <v>3</v>
      </c>
      <c r="F5" t="str">
        <f>B5</f>
        <v>Office Supplies</v>
      </c>
      <c r="G5">
        <f t="shared" si="0"/>
        <v>719047.03</v>
      </c>
      <c r="H5">
        <f>_xlfn.XLOOKUP(B5,$B$9:$B$11,$C$9:$C$11)</f>
        <v>122490.8</v>
      </c>
      <c r="J5">
        <v>3</v>
      </c>
      <c r="K5" t="s">
        <v>14</v>
      </c>
      <c r="L5">
        <v>223843.61</v>
      </c>
      <c r="O5">
        <v>3</v>
      </c>
      <c r="P5" t="s">
        <v>32</v>
      </c>
      <c r="Q5">
        <v>22638.48</v>
      </c>
    </row>
    <row r="6" spans="1:17" x14ac:dyDescent="0.3">
      <c r="J6">
        <v>4</v>
      </c>
      <c r="K6" t="s">
        <v>15</v>
      </c>
      <c r="L6">
        <v>206965.53</v>
      </c>
      <c r="O6">
        <v>4</v>
      </c>
      <c r="P6" t="s">
        <v>33</v>
      </c>
      <c r="Q6">
        <v>21870.58</v>
      </c>
    </row>
    <row r="7" spans="1:17" x14ac:dyDescent="0.3">
      <c r="B7" s="3" t="s">
        <v>2264</v>
      </c>
      <c r="F7" s="9" t="s">
        <v>2282</v>
      </c>
      <c r="J7">
        <v>5</v>
      </c>
      <c r="K7" t="s">
        <v>16</v>
      </c>
      <c r="L7">
        <v>203412.73</v>
      </c>
      <c r="O7">
        <v>5</v>
      </c>
      <c r="P7" t="s">
        <v>34</v>
      </c>
      <c r="Q7">
        <v>19823.48</v>
      </c>
    </row>
    <row r="8" spans="1:17" x14ac:dyDescent="0.3">
      <c r="A8" s="4" t="s">
        <v>2257</v>
      </c>
      <c r="B8" s="1" t="s">
        <v>5</v>
      </c>
      <c r="C8" s="1" t="s">
        <v>10</v>
      </c>
      <c r="D8" s="5"/>
      <c r="E8" s="7" t="s">
        <v>2278</v>
      </c>
      <c r="F8" t="s">
        <v>2280</v>
      </c>
      <c r="G8" t="s">
        <v>2281</v>
      </c>
      <c r="H8" s="5"/>
      <c r="I8" s="5"/>
      <c r="J8">
        <v>6</v>
      </c>
      <c r="K8" t="s">
        <v>17</v>
      </c>
      <c r="L8">
        <v>189238.63</v>
      </c>
      <c r="O8">
        <v>6</v>
      </c>
      <c r="P8" t="s">
        <v>35</v>
      </c>
      <c r="Q8">
        <v>19024.5</v>
      </c>
    </row>
    <row r="9" spans="1:17" x14ac:dyDescent="0.3">
      <c r="A9">
        <v>1</v>
      </c>
      <c r="B9" t="s">
        <v>7</v>
      </c>
      <c r="C9">
        <v>145454.95000000001</v>
      </c>
      <c r="E9" s="8" t="s">
        <v>8</v>
      </c>
      <c r="F9">
        <v>741999.8</v>
      </c>
      <c r="G9">
        <v>18451.27</v>
      </c>
      <c r="J9">
        <v>7</v>
      </c>
      <c r="K9" t="s">
        <v>18</v>
      </c>
      <c r="L9">
        <v>167380.32</v>
      </c>
      <c r="O9">
        <v>7</v>
      </c>
      <c r="P9" t="s">
        <v>36</v>
      </c>
      <c r="Q9">
        <v>18839.689999999999</v>
      </c>
    </row>
    <row r="10" spans="1:17" x14ac:dyDescent="0.3">
      <c r="A10">
        <v>2</v>
      </c>
      <c r="B10" t="s">
        <v>9</v>
      </c>
      <c r="C10">
        <v>122490.8</v>
      </c>
      <c r="E10" s="8" t="s">
        <v>9</v>
      </c>
      <c r="F10">
        <v>719047.03</v>
      </c>
      <c r="G10">
        <v>122490.8</v>
      </c>
      <c r="J10">
        <v>8</v>
      </c>
      <c r="K10" t="s">
        <v>19</v>
      </c>
      <c r="L10">
        <v>149528.03</v>
      </c>
      <c r="O10">
        <v>8</v>
      </c>
      <c r="P10" t="s">
        <v>37</v>
      </c>
      <c r="Q10">
        <v>18374.900000000001</v>
      </c>
    </row>
    <row r="11" spans="1:17" x14ac:dyDescent="0.3">
      <c r="A11">
        <v>3</v>
      </c>
      <c r="B11" t="s">
        <v>8</v>
      </c>
      <c r="C11">
        <v>18451.27</v>
      </c>
      <c r="E11" s="8" t="s">
        <v>7</v>
      </c>
      <c r="F11">
        <v>836154.03</v>
      </c>
      <c r="G11">
        <v>145454.95000000001</v>
      </c>
      <c r="J11">
        <v>9</v>
      </c>
      <c r="K11" t="s">
        <v>20</v>
      </c>
      <c r="L11">
        <v>114880</v>
      </c>
      <c r="O11">
        <v>9</v>
      </c>
      <c r="P11" t="s">
        <v>38</v>
      </c>
      <c r="Q11">
        <v>17965.07</v>
      </c>
    </row>
    <row r="12" spans="1:17" x14ac:dyDescent="0.3">
      <c r="E12" s="8" t="s">
        <v>2279</v>
      </c>
      <c r="F12">
        <v>2297200.8600000003</v>
      </c>
      <c r="G12">
        <v>286397.02</v>
      </c>
      <c r="J12">
        <v>10</v>
      </c>
      <c r="K12" t="s">
        <v>21</v>
      </c>
      <c r="L12">
        <v>107532.16</v>
      </c>
      <c r="O12">
        <v>10</v>
      </c>
      <c r="P12" t="s">
        <v>39</v>
      </c>
      <c r="Q12">
        <v>17030.310000000001</v>
      </c>
    </row>
    <row r="13" spans="1:17" x14ac:dyDescent="0.3">
      <c r="J13">
        <v>11</v>
      </c>
      <c r="K13" t="s">
        <v>22</v>
      </c>
      <c r="L13">
        <v>91705.16</v>
      </c>
    </row>
    <row r="14" spans="1:17" x14ac:dyDescent="0.3">
      <c r="J14">
        <v>12</v>
      </c>
      <c r="K14" t="s">
        <v>23</v>
      </c>
      <c r="L14">
        <v>78479.210000000006</v>
      </c>
      <c r="P14" s="3" t="s">
        <v>2267</v>
      </c>
    </row>
    <row r="15" spans="1:17" x14ac:dyDescent="0.3">
      <c r="J15">
        <v>13</v>
      </c>
      <c r="K15" t="s">
        <v>24</v>
      </c>
      <c r="L15">
        <v>46673.54</v>
      </c>
      <c r="O15" s="4" t="s">
        <v>2257</v>
      </c>
      <c r="P15" s="1" t="s">
        <v>29</v>
      </c>
      <c r="Q15" s="1" t="s">
        <v>10</v>
      </c>
    </row>
    <row r="16" spans="1:17" x14ac:dyDescent="0.3">
      <c r="J16">
        <v>14</v>
      </c>
      <c r="K16" t="s">
        <v>25</v>
      </c>
      <c r="L16">
        <v>27118.79</v>
      </c>
      <c r="O16">
        <v>1</v>
      </c>
      <c r="P16" t="s">
        <v>40</v>
      </c>
      <c r="Q16">
        <v>-8879.9699999999993</v>
      </c>
    </row>
    <row r="17" spans="10:17" x14ac:dyDescent="0.3">
      <c r="J17">
        <v>15</v>
      </c>
      <c r="K17" t="s">
        <v>26</v>
      </c>
      <c r="L17">
        <v>16476.400000000001</v>
      </c>
      <c r="O17">
        <v>2</v>
      </c>
      <c r="P17" t="s">
        <v>41</v>
      </c>
      <c r="Q17">
        <v>-4589.97</v>
      </c>
    </row>
    <row r="18" spans="10:17" x14ac:dyDescent="0.3">
      <c r="J18">
        <v>16</v>
      </c>
      <c r="K18" t="s">
        <v>27</v>
      </c>
      <c r="L18">
        <v>12486.31</v>
      </c>
      <c r="O18">
        <v>3</v>
      </c>
      <c r="P18" t="s">
        <v>42</v>
      </c>
      <c r="Q18">
        <v>-3839.99</v>
      </c>
    </row>
    <row r="19" spans="10:17" x14ac:dyDescent="0.3">
      <c r="J19">
        <v>17</v>
      </c>
      <c r="K19" t="s">
        <v>28</v>
      </c>
      <c r="L19">
        <v>3024.28</v>
      </c>
      <c r="O19">
        <v>4</v>
      </c>
      <c r="P19" t="s">
        <v>43</v>
      </c>
      <c r="Q19">
        <v>-2876.12</v>
      </c>
    </row>
    <row r="20" spans="10:17" x14ac:dyDescent="0.3">
      <c r="O20">
        <v>5</v>
      </c>
      <c r="P20" t="s">
        <v>44</v>
      </c>
      <c r="Q20">
        <v>-1934.4</v>
      </c>
    </row>
    <row r="21" spans="10:17" x14ac:dyDescent="0.3">
      <c r="O21">
        <v>6</v>
      </c>
      <c r="P21" t="s">
        <v>38</v>
      </c>
      <c r="Q21">
        <v>-1878.17</v>
      </c>
    </row>
    <row r="22" spans="10:17" x14ac:dyDescent="0.3">
      <c r="O22">
        <v>7</v>
      </c>
      <c r="P22" t="s">
        <v>32</v>
      </c>
      <c r="Q22">
        <v>-1811.08</v>
      </c>
    </row>
    <row r="23" spans="10:17" x14ac:dyDescent="0.3">
      <c r="O23">
        <v>8</v>
      </c>
      <c r="P23" t="s">
        <v>45</v>
      </c>
      <c r="Q23">
        <v>-1299.18</v>
      </c>
    </row>
    <row r="24" spans="10:17" x14ac:dyDescent="0.3">
      <c r="O24">
        <v>9</v>
      </c>
      <c r="P24" t="s">
        <v>46</v>
      </c>
      <c r="Q24">
        <v>-1201.06</v>
      </c>
    </row>
    <row r="25" spans="10:17" x14ac:dyDescent="0.3">
      <c r="O25">
        <v>10</v>
      </c>
      <c r="P25" t="s">
        <v>47</v>
      </c>
      <c r="Q25">
        <v>-1148.44</v>
      </c>
    </row>
  </sheetData>
  <sortState xmlns:xlrd2="http://schemas.microsoft.com/office/spreadsheetml/2017/richdata2" ref="L3:L19">
    <sortCondition descending="1" ref="L2:L19"/>
  </sortState>
  <pageMargins left="0.75" right="0.75" top="1" bottom="1" header="0.5" footer="0.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topLeftCell="A4" workbookViewId="0">
      <selection activeCell="P9" sqref="P9"/>
    </sheetView>
  </sheetViews>
  <sheetFormatPr defaultRowHeight="14.4" x14ac:dyDescent="0.3"/>
  <cols>
    <col min="2" max="2" width="21.21875" customWidth="1"/>
  </cols>
  <sheetData>
    <row r="1" spans="1:4" x14ac:dyDescent="0.3">
      <c r="B1" s="3" t="s">
        <v>2268</v>
      </c>
    </row>
    <row r="2" spans="1:4" x14ac:dyDescent="0.3">
      <c r="A2" s="4" t="s">
        <v>2257</v>
      </c>
      <c r="B2" s="1" t="s">
        <v>48</v>
      </c>
      <c r="C2" s="1" t="s">
        <v>6</v>
      </c>
    </row>
    <row r="3" spans="1:4" x14ac:dyDescent="0.3">
      <c r="A3">
        <v>1</v>
      </c>
      <c r="B3" t="s">
        <v>49</v>
      </c>
      <c r="C3">
        <v>25043.05</v>
      </c>
    </row>
    <row r="4" spans="1:4" x14ac:dyDescent="0.3">
      <c r="A4">
        <v>2</v>
      </c>
      <c r="B4" t="s">
        <v>50</v>
      </c>
      <c r="C4">
        <v>19052.22</v>
      </c>
    </row>
    <row r="5" spans="1:4" x14ac:dyDescent="0.3">
      <c r="A5">
        <v>3</v>
      </c>
      <c r="B5" t="s">
        <v>51</v>
      </c>
      <c r="C5">
        <v>15117.34</v>
      </c>
    </row>
    <row r="6" spans="1:4" x14ac:dyDescent="0.3">
      <c r="A6">
        <v>4</v>
      </c>
      <c r="B6" t="s">
        <v>52</v>
      </c>
      <c r="C6">
        <v>14595.62</v>
      </c>
    </row>
    <row r="7" spans="1:4" x14ac:dyDescent="0.3">
      <c r="A7">
        <v>5</v>
      </c>
      <c r="B7" t="s">
        <v>53</v>
      </c>
      <c r="C7">
        <v>14473.57</v>
      </c>
    </row>
    <row r="8" spans="1:4" x14ac:dyDescent="0.3">
      <c r="A8">
        <v>6</v>
      </c>
      <c r="B8" t="s">
        <v>54</v>
      </c>
      <c r="C8">
        <v>14175.23</v>
      </c>
    </row>
    <row r="9" spans="1:4" x14ac:dyDescent="0.3">
      <c r="A9">
        <v>7</v>
      </c>
      <c r="B9" t="s">
        <v>55</v>
      </c>
      <c r="C9">
        <v>14142.33</v>
      </c>
    </row>
    <row r="10" spans="1:4" x14ac:dyDescent="0.3">
      <c r="A10">
        <v>8</v>
      </c>
      <c r="B10" t="s">
        <v>56</v>
      </c>
      <c r="C10">
        <v>12873.3</v>
      </c>
    </row>
    <row r="11" spans="1:4" x14ac:dyDescent="0.3">
      <c r="A11">
        <v>9</v>
      </c>
      <c r="B11" t="s">
        <v>57</v>
      </c>
      <c r="C11">
        <v>12209.44</v>
      </c>
    </row>
    <row r="12" spans="1:4" x14ac:dyDescent="0.3">
      <c r="A12">
        <v>10</v>
      </c>
      <c r="B12" t="s">
        <v>58</v>
      </c>
      <c r="C12">
        <v>12129.07</v>
      </c>
    </row>
    <row r="14" spans="1:4" x14ac:dyDescent="0.3">
      <c r="B14" s="3" t="s">
        <v>2269</v>
      </c>
    </row>
    <row r="15" spans="1:4" x14ac:dyDescent="0.3">
      <c r="A15" s="4" t="s">
        <v>2257</v>
      </c>
      <c r="B15" s="1" t="s">
        <v>59</v>
      </c>
      <c r="C15" s="1" t="s">
        <v>6</v>
      </c>
      <c r="D15" s="1" t="s">
        <v>10</v>
      </c>
    </row>
    <row r="16" spans="1:4" x14ac:dyDescent="0.3">
      <c r="A16">
        <v>1</v>
      </c>
      <c r="B16" t="s">
        <v>60</v>
      </c>
      <c r="C16">
        <v>1161401.3400000001</v>
      </c>
      <c r="D16">
        <v>134119.21</v>
      </c>
    </row>
    <row r="17" spans="1:4" x14ac:dyDescent="0.3">
      <c r="A17">
        <v>2</v>
      </c>
      <c r="B17" t="s">
        <v>61</v>
      </c>
      <c r="C17">
        <v>706146.37</v>
      </c>
      <c r="D17">
        <v>91979.13</v>
      </c>
    </row>
    <row r="18" spans="1:4" x14ac:dyDescent="0.3">
      <c r="A18">
        <v>3</v>
      </c>
      <c r="B18" t="s">
        <v>62</v>
      </c>
      <c r="C18">
        <v>429653.15</v>
      </c>
      <c r="D18">
        <v>60298.68</v>
      </c>
    </row>
    <row r="20" spans="1:4" x14ac:dyDescent="0.3">
      <c r="B20" s="3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9"/>
  <sheetViews>
    <sheetView workbookViewId="0">
      <selection activeCell="R25" sqref="R25"/>
    </sheetView>
  </sheetViews>
  <sheetFormatPr defaultRowHeight="14.4" x14ac:dyDescent="0.3"/>
  <cols>
    <col min="3" max="3" width="13.88671875" customWidth="1"/>
  </cols>
  <sheetData>
    <row r="1" spans="2:4" x14ac:dyDescent="0.3">
      <c r="C1" s="3" t="s">
        <v>2270</v>
      </c>
    </row>
    <row r="2" spans="2:4" x14ac:dyDescent="0.3">
      <c r="B2" s="4" t="s">
        <v>2257</v>
      </c>
      <c r="C2" s="1" t="s">
        <v>63</v>
      </c>
      <c r="D2" s="1" t="s">
        <v>6</v>
      </c>
    </row>
    <row r="3" spans="2:4" x14ac:dyDescent="0.3">
      <c r="B3">
        <v>1</v>
      </c>
      <c r="C3" t="s">
        <v>64</v>
      </c>
      <c r="D3">
        <v>725457.82</v>
      </c>
    </row>
    <row r="4" spans="2:4" x14ac:dyDescent="0.3">
      <c r="B4">
        <v>2</v>
      </c>
      <c r="C4" t="s">
        <v>65</v>
      </c>
      <c r="D4">
        <v>678781.24</v>
      </c>
    </row>
    <row r="5" spans="2:4" x14ac:dyDescent="0.3">
      <c r="B5">
        <v>3</v>
      </c>
      <c r="C5" t="s">
        <v>66</v>
      </c>
      <c r="D5">
        <v>501239.89</v>
      </c>
    </row>
    <row r="6" spans="2:4" x14ac:dyDescent="0.3">
      <c r="B6">
        <v>4</v>
      </c>
      <c r="C6" t="s">
        <v>67</v>
      </c>
      <c r="D6">
        <v>391721.91</v>
      </c>
    </row>
    <row r="8" spans="2:4" x14ac:dyDescent="0.3">
      <c r="C8" s="3" t="s">
        <v>2272</v>
      </c>
    </row>
    <row r="9" spans="2:4" x14ac:dyDescent="0.3">
      <c r="B9" s="4" t="s">
        <v>2257</v>
      </c>
      <c r="C9" s="1" t="s">
        <v>68</v>
      </c>
      <c r="D9" s="1" t="s">
        <v>6</v>
      </c>
    </row>
    <row r="10" spans="2:4" x14ac:dyDescent="0.3">
      <c r="B10">
        <v>1</v>
      </c>
      <c r="C10" t="s">
        <v>69</v>
      </c>
      <c r="D10">
        <v>457687.63</v>
      </c>
    </row>
    <row r="11" spans="2:4" x14ac:dyDescent="0.3">
      <c r="B11">
        <v>2</v>
      </c>
      <c r="C11" t="s">
        <v>70</v>
      </c>
      <c r="D11">
        <v>310876.27</v>
      </c>
    </row>
    <row r="12" spans="2:4" x14ac:dyDescent="0.3">
      <c r="B12">
        <v>3</v>
      </c>
      <c r="C12" t="s">
        <v>71</v>
      </c>
      <c r="D12">
        <v>170188.05</v>
      </c>
    </row>
    <row r="13" spans="2:4" x14ac:dyDescent="0.3">
      <c r="B13">
        <v>4</v>
      </c>
      <c r="C13" t="s">
        <v>72</v>
      </c>
      <c r="D13">
        <v>138641.26999999999</v>
      </c>
    </row>
    <row r="14" spans="2:4" x14ac:dyDescent="0.3">
      <c r="B14">
        <v>5</v>
      </c>
      <c r="C14" t="s">
        <v>73</v>
      </c>
      <c r="D14">
        <v>116511.91</v>
      </c>
    </row>
    <row r="15" spans="2:4" x14ac:dyDescent="0.3">
      <c r="B15">
        <v>6</v>
      </c>
      <c r="C15" t="s">
        <v>74</v>
      </c>
      <c r="D15">
        <v>89473.71</v>
      </c>
    </row>
    <row r="16" spans="2:4" x14ac:dyDescent="0.3">
      <c r="B16">
        <v>7</v>
      </c>
      <c r="C16" t="s">
        <v>75</v>
      </c>
      <c r="D16">
        <v>80166.100000000006</v>
      </c>
    </row>
    <row r="17" spans="2:4" x14ac:dyDescent="0.3">
      <c r="B17">
        <v>8</v>
      </c>
      <c r="C17" t="s">
        <v>76</v>
      </c>
      <c r="D17">
        <v>78258.14</v>
      </c>
    </row>
    <row r="18" spans="2:4" x14ac:dyDescent="0.3">
      <c r="B18">
        <v>9</v>
      </c>
      <c r="C18" t="s">
        <v>77</v>
      </c>
      <c r="D18">
        <v>76269.61</v>
      </c>
    </row>
    <row r="19" spans="2:4" x14ac:dyDescent="0.3">
      <c r="B19">
        <v>10</v>
      </c>
      <c r="C19" t="s">
        <v>78</v>
      </c>
      <c r="D19">
        <v>70636.72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2"/>
  <sheetViews>
    <sheetView workbookViewId="0">
      <selection activeCell="C7" sqref="C7"/>
    </sheetView>
  </sheetViews>
  <sheetFormatPr defaultRowHeight="14.4" x14ac:dyDescent="0.3"/>
  <cols>
    <col min="3" max="3" width="14" customWidth="1"/>
    <col min="4" max="4" width="9.88671875" customWidth="1"/>
    <col min="6" max="6" width="12.5546875" bestFit="1" customWidth="1"/>
    <col min="7" max="7" width="15.5546875" bestFit="1" customWidth="1"/>
    <col min="8" max="8" width="10" bestFit="1" customWidth="1"/>
    <col min="9" max="9" width="9" bestFit="1" customWidth="1"/>
    <col min="10" max="10" width="10" bestFit="1" customWidth="1"/>
    <col min="11" max="11" width="11" bestFit="1" customWidth="1"/>
  </cols>
  <sheetData>
    <row r="1" spans="1:11" x14ac:dyDescent="0.3">
      <c r="C1" t="s">
        <v>2271</v>
      </c>
      <c r="D1" s="3"/>
    </row>
    <row r="2" spans="1:11" x14ac:dyDescent="0.3">
      <c r="A2" s="1" t="s">
        <v>79</v>
      </c>
      <c r="B2" s="6" t="s">
        <v>2283</v>
      </c>
      <c r="C2" s="6" t="s">
        <v>2284</v>
      </c>
      <c r="D2" s="1" t="s">
        <v>6</v>
      </c>
    </row>
    <row r="3" spans="1:11" x14ac:dyDescent="0.3">
      <c r="A3" t="s">
        <v>80</v>
      </c>
      <c r="B3" t="str">
        <f>LEFT(A3,4)</f>
        <v>2014</v>
      </c>
      <c r="C3" s="10" t="str">
        <f>TEXT(DATE(LEFT(A3,4),RIGHT(A3,2),1),"mmmm")</f>
        <v>January</v>
      </c>
      <c r="D3">
        <v>14236.9</v>
      </c>
      <c r="F3" s="7" t="s">
        <v>2280</v>
      </c>
      <c r="G3" s="7" t="s">
        <v>2297</v>
      </c>
    </row>
    <row r="4" spans="1:11" x14ac:dyDescent="0.3">
      <c r="A4" t="s">
        <v>81</v>
      </c>
      <c r="B4" t="str">
        <f t="shared" ref="B4:B52" si="0">LEFT(A4,4)</f>
        <v>2014</v>
      </c>
      <c r="C4" s="10" t="str">
        <f t="shared" ref="C4:C50" si="1">TEXT(DATE(LEFT(A4,4),RIGHT(A4,2),1),"mmmm")</f>
        <v>February</v>
      </c>
      <c r="D4">
        <v>4519.8900000000003</v>
      </c>
      <c r="F4" s="7" t="s">
        <v>2278</v>
      </c>
      <c r="G4" t="s">
        <v>2298</v>
      </c>
      <c r="H4" t="s">
        <v>2299</v>
      </c>
      <c r="I4" t="s">
        <v>2300</v>
      </c>
      <c r="J4" t="s">
        <v>2301</v>
      </c>
      <c r="K4" t="s">
        <v>2279</v>
      </c>
    </row>
    <row r="5" spans="1:11" x14ac:dyDescent="0.3">
      <c r="A5" t="s">
        <v>82</v>
      </c>
      <c r="B5" t="str">
        <f t="shared" si="0"/>
        <v>2014</v>
      </c>
      <c r="C5" s="10" t="str">
        <f t="shared" si="1"/>
        <v>March</v>
      </c>
      <c r="D5">
        <v>55691.01</v>
      </c>
      <c r="F5" s="8" t="s">
        <v>2285</v>
      </c>
      <c r="G5">
        <v>14236.9</v>
      </c>
      <c r="H5">
        <v>18174.080000000002</v>
      </c>
      <c r="I5">
        <v>18542.490000000002</v>
      </c>
      <c r="J5">
        <v>43971.37</v>
      </c>
      <c r="K5">
        <v>94924.84</v>
      </c>
    </row>
    <row r="6" spans="1:11" x14ac:dyDescent="0.3">
      <c r="A6" t="s">
        <v>83</v>
      </c>
      <c r="B6" t="str">
        <f t="shared" si="0"/>
        <v>2014</v>
      </c>
      <c r="C6" s="10" t="str">
        <f t="shared" si="1"/>
        <v>April</v>
      </c>
      <c r="D6">
        <v>28295.35</v>
      </c>
      <c r="F6" s="8" t="s">
        <v>2286</v>
      </c>
      <c r="G6">
        <v>4519.8900000000003</v>
      </c>
      <c r="H6">
        <v>11951.41</v>
      </c>
      <c r="I6">
        <v>22978.82</v>
      </c>
      <c r="J6">
        <v>20301.13</v>
      </c>
      <c r="K6">
        <v>59751.25</v>
      </c>
    </row>
    <row r="7" spans="1:11" x14ac:dyDescent="0.3">
      <c r="A7" t="s">
        <v>84</v>
      </c>
      <c r="B7" t="str">
        <f t="shared" si="0"/>
        <v>2014</v>
      </c>
      <c r="C7" s="10" t="str">
        <f t="shared" si="1"/>
        <v>May</v>
      </c>
      <c r="D7">
        <v>23648.29</v>
      </c>
      <c r="F7" s="8" t="s">
        <v>2287</v>
      </c>
      <c r="G7">
        <v>55691.01</v>
      </c>
      <c r="H7">
        <v>38726.25</v>
      </c>
      <c r="I7">
        <v>51715.88</v>
      </c>
      <c r="J7">
        <v>58872.35</v>
      </c>
      <c r="K7">
        <v>205005.49000000002</v>
      </c>
    </row>
    <row r="8" spans="1:11" x14ac:dyDescent="0.3">
      <c r="A8" t="s">
        <v>85</v>
      </c>
      <c r="B8" t="str">
        <f t="shared" si="0"/>
        <v>2014</v>
      </c>
      <c r="C8" s="10" t="str">
        <f t="shared" si="1"/>
        <v>June</v>
      </c>
      <c r="D8">
        <v>34595.129999999997</v>
      </c>
      <c r="F8" s="8" t="s">
        <v>2288</v>
      </c>
      <c r="G8">
        <v>28295.35</v>
      </c>
      <c r="H8">
        <v>34195.21</v>
      </c>
      <c r="I8">
        <v>38750.04</v>
      </c>
      <c r="J8">
        <v>36521.54</v>
      </c>
      <c r="K8">
        <v>137762.14000000001</v>
      </c>
    </row>
    <row r="9" spans="1:11" x14ac:dyDescent="0.3">
      <c r="A9" t="s">
        <v>86</v>
      </c>
      <c r="B9" t="str">
        <f t="shared" si="0"/>
        <v>2014</v>
      </c>
      <c r="C9" s="10" t="str">
        <f t="shared" si="1"/>
        <v>July</v>
      </c>
      <c r="D9">
        <v>33946.39</v>
      </c>
      <c r="F9" s="8" t="s">
        <v>2289</v>
      </c>
      <c r="G9">
        <v>23648.29</v>
      </c>
      <c r="H9">
        <v>30131.69</v>
      </c>
      <c r="I9">
        <v>56987.73</v>
      </c>
      <c r="J9">
        <v>44261.11</v>
      </c>
      <c r="K9">
        <v>155028.82</v>
      </c>
    </row>
    <row r="10" spans="1:11" x14ac:dyDescent="0.3">
      <c r="A10" t="s">
        <v>87</v>
      </c>
      <c r="B10" t="str">
        <f t="shared" si="0"/>
        <v>2014</v>
      </c>
      <c r="C10" s="10" t="str">
        <f t="shared" si="1"/>
        <v>August</v>
      </c>
      <c r="D10">
        <v>27909.47</v>
      </c>
      <c r="F10" s="8" t="s">
        <v>2290</v>
      </c>
      <c r="G10">
        <v>34595.129999999997</v>
      </c>
      <c r="H10">
        <v>24797.29</v>
      </c>
      <c r="I10">
        <v>40344.53</v>
      </c>
      <c r="J10">
        <v>52981.73</v>
      </c>
      <c r="K10">
        <v>152718.68</v>
      </c>
    </row>
    <row r="11" spans="1:11" x14ac:dyDescent="0.3">
      <c r="A11" t="s">
        <v>88</v>
      </c>
      <c r="B11" t="str">
        <f t="shared" si="0"/>
        <v>2014</v>
      </c>
      <c r="C11" s="10" t="str">
        <f t="shared" si="1"/>
        <v>September</v>
      </c>
      <c r="D11">
        <v>81777.350000000006</v>
      </c>
      <c r="F11" s="8" t="s">
        <v>2291</v>
      </c>
      <c r="G11">
        <v>33946.39</v>
      </c>
      <c r="H11">
        <v>28765.33</v>
      </c>
      <c r="I11">
        <v>39261.96</v>
      </c>
      <c r="J11">
        <v>45264.42</v>
      </c>
      <c r="K11">
        <v>147238.09999999998</v>
      </c>
    </row>
    <row r="12" spans="1:11" x14ac:dyDescent="0.3">
      <c r="A12" t="s">
        <v>89</v>
      </c>
      <c r="B12" t="str">
        <f t="shared" si="0"/>
        <v>2014</v>
      </c>
      <c r="C12" s="10" t="str">
        <f t="shared" si="1"/>
        <v>October</v>
      </c>
      <c r="D12">
        <v>31453.39</v>
      </c>
      <c r="F12" s="8" t="s">
        <v>2292</v>
      </c>
      <c r="G12">
        <v>27909.47</v>
      </c>
      <c r="H12">
        <v>36898.33</v>
      </c>
      <c r="I12">
        <v>31115.37</v>
      </c>
      <c r="J12">
        <v>63120.89</v>
      </c>
      <c r="K12">
        <v>159044.06</v>
      </c>
    </row>
    <row r="13" spans="1:11" x14ac:dyDescent="0.3">
      <c r="A13" t="s">
        <v>90</v>
      </c>
      <c r="B13" t="str">
        <f t="shared" si="0"/>
        <v>2014</v>
      </c>
      <c r="C13" s="10" t="str">
        <f t="shared" si="1"/>
        <v>November</v>
      </c>
      <c r="D13">
        <v>78628.72</v>
      </c>
      <c r="F13" s="8" t="s">
        <v>2293</v>
      </c>
      <c r="G13">
        <v>81777.350000000006</v>
      </c>
      <c r="H13">
        <v>64595.92</v>
      </c>
      <c r="I13">
        <v>73410.02</v>
      </c>
      <c r="J13">
        <v>87866.65</v>
      </c>
      <c r="K13">
        <v>307649.94000000006</v>
      </c>
    </row>
    <row r="14" spans="1:11" x14ac:dyDescent="0.3">
      <c r="A14" t="s">
        <v>91</v>
      </c>
      <c r="B14" t="str">
        <f t="shared" si="0"/>
        <v>2014</v>
      </c>
      <c r="C14" s="10" t="str">
        <f t="shared" si="1"/>
        <v>December</v>
      </c>
      <c r="D14">
        <v>69545.62</v>
      </c>
      <c r="F14" s="8" t="s">
        <v>2294</v>
      </c>
      <c r="G14">
        <v>31453.39</v>
      </c>
      <c r="H14">
        <v>31404.92</v>
      </c>
      <c r="I14">
        <v>59687.75</v>
      </c>
      <c r="J14">
        <v>77776.92</v>
      </c>
      <c r="K14">
        <v>200322.97999999998</v>
      </c>
    </row>
    <row r="15" spans="1:11" x14ac:dyDescent="0.3">
      <c r="A15" t="s">
        <v>92</v>
      </c>
      <c r="B15" t="str">
        <f t="shared" si="0"/>
        <v>2015</v>
      </c>
      <c r="C15" s="10" t="str">
        <f t="shared" si="1"/>
        <v>January</v>
      </c>
      <c r="D15">
        <v>18174.080000000002</v>
      </c>
      <c r="F15" s="8" t="s">
        <v>2295</v>
      </c>
      <c r="G15">
        <v>78628.72</v>
      </c>
      <c r="H15">
        <v>75972.56</v>
      </c>
      <c r="I15">
        <v>79411.97</v>
      </c>
      <c r="J15">
        <v>118447.83</v>
      </c>
      <c r="K15">
        <v>352461.08</v>
      </c>
    </row>
    <row r="16" spans="1:11" x14ac:dyDescent="0.3">
      <c r="A16" t="s">
        <v>93</v>
      </c>
      <c r="B16" t="str">
        <f t="shared" si="0"/>
        <v>2015</v>
      </c>
      <c r="C16" s="10" t="str">
        <f t="shared" si="1"/>
        <v>February</v>
      </c>
      <c r="D16">
        <v>11951.41</v>
      </c>
      <c r="F16" s="8" t="s">
        <v>2296</v>
      </c>
      <c r="G16">
        <v>69545.62</v>
      </c>
      <c r="H16">
        <v>74919.520000000004</v>
      </c>
      <c r="I16">
        <v>96999.039999999994</v>
      </c>
      <c r="J16">
        <v>83829.320000000007</v>
      </c>
      <c r="K16">
        <v>325293.5</v>
      </c>
    </row>
    <row r="17" spans="1:11" x14ac:dyDescent="0.3">
      <c r="A17" t="s">
        <v>94</v>
      </c>
      <c r="B17" t="str">
        <f t="shared" si="0"/>
        <v>2015</v>
      </c>
      <c r="C17" s="10" t="str">
        <f t="shared" si="1"/>
        <v>March</v>
      </c>
      <c r="D17">
        <v>38726.25</v>
      </c>
      <c r="F17" s="8" t="s">
        <v>2279</v>
      </c>
      <c r="G17">
        <v>484247.51</v>
      </c>
      <c r="H17">
        <v>470532.51</v>
      </c>
      <c r="I17">
        <v>609205.60000000009</v>
      </c>
      <c r="J17">
        <v>733215.26</v>
      </c>
      <c r="K17">
        <v>2297200.88</v>
      </c>
    </row>
    <row r="18" spans="1:11" x14ac:dyDescent="0.3">
      <c r="A18" t="s">
        <v>95</v>
      </c>
      <c r="B18" t="str">
        <f t="shared" si="0"/>
        <v>2015</v>
      </c>
      <c r="C18" s="10" t="str">
        <f t="shared" si="1"/>
        <v>April</v>
      </c>
      <c r="D18">
        <v>34195.21</v>
      </c>
    </row>
    <row r="19" spans="1:11" x14ac:dyDescent="0.3">
      <c r="A19" t="s">
        <v>96</v>
      </c>
      <c r="B19" t="str">
        <f t="shared" si="0"/>
        <v>2015</v>
      </c>
      <c r="C19" s="10" t="str">
        <f t="shared" si="1"/>
        <v>May</v>
      </c>
      <c r="D19">
        <v>30131.69</v>
      </c>
    </row>
    <row r="20" spans="1:11" x14ac:dyDescent="0.3">
      <c r="A20" t="s">
        <v>97</v>
      </c>
      <c r="B20" t="str">
        <f t="shared" si="0"/>
        <v>2015</v>
      </c>
      <c r="C20" s="10" t="str">
        <f t="shared" si="1"/>
        <v>June</v>
      </c>
      <c r="D20">
        <v>24797.29</v>
      </c>
    </row>
    <row r="21" spans="1:11" x14ac:dyDescent="0.3">
      <c r="A21" t="s">
        <v>98</v>
      </c>
      <c r="B21" t="str">
        <f t="shared" si="0"/>
        <v>2015</v>
      </c>
      <c r="C21" s="10" t="str">
        <f t="shared" si="1"/>
        <v>July</v>
      </c>
      <c r="D21">
        <v>28765.33</v>
      </c>
    </row>
    <row r="22" spans="1:11" x14ac:dyDescent="0.3">
      <c r="A22" t="s">
        <v>99</v>
      </c>
      <c r="B22" t="str">
        <f t="shared" si="0"/>
        <v>2015</v>
      </c>
      <c r="C22" s="10" t="str">
        <f t="shared" si="1"/>
        <v>August</v>
      </c>
      <c r="D22">
        <v>36898.33</v>
      </c>
    </row>
    <row r="23" spans="1:11" x14ac:dyDescent="0.3">
      <c r="A23" t="s">
        <v>100</v>
      </c>
      <c r="B23" t="str">
        <f t="shared" si="0"/>
        <v>2015</v>
      </c>
      <c r="C23" s="10" t="str">
        <f t="shared" si="1"/>
        <v>September</v>
      </c>
      <c r="D23">
        <v>64595.92</v>
      </c>
    </row>
    <row r="24" spans="1:11" x14ac:dyDescent="0.3">
      <c r="A24" t="s">
        <v>101</v>
      </c>
      <c r="B24" t="str">
        <f t="shared" si="0"/>
        <v>2015</v>
      </c>
      <c r="C24" s="10" t="str">
        <f t="shared" si="1"/>
        <v>October</v>
      </c>
      <c r="D24">
        <v>31404.92</v>
      </c>
    </row>
    <row r="25" spans="1:11" x14ac:dyDescent="0.3">
      <c r="A25" t="s">
        <v>102</v>
      </c>
      <c r="B25" t="str">
        <f t="shared" si="0"/>
        <v>2015</v>
      </c>
      <c r="C25" s="10" t="str">
        <f t="shared" si="1"/>
        <v>November</v>
      </c>
      <c r="D25">
        <v>75972.56</v>
      </c>
    </row>
    <row r="26" spans="1:11" x14ac:dyDescent="0.3">
      <c r="A26" t="s">
        <v>103</v>
      </c>
      <c r="B26" t="str">
        <f t="shared" si="0"/>
        <v>2015</v>
      </c>
      <c r="C26" s="10" t="str">
        <f t="shared" si="1"/>
        <v>December</v>
      </c>
      <c r="D26">
        <v>74919.520000000004</v>
      </c>
    </row>
    <row r="27" spans="1:11" x14ac:dyDescent="0.3">
      <c r="A27" t="s">
        <v>104</v>
      </c>
      <c r="B27" t="str">
        <f t="shared" si="0"/>
        <v>2016</v>
      </c>
      <c r="C27" s="10" t="str">
        <f t="shared" si="1"/>
        <v>January</v>
      </c>
      <c r="D27">
        <v>18542.490000000002</v>
      </c>
    </row>
    <row r="28" spans="1:11" x14ac:dyDescent="0.3">
      <c r="A28" t="s">
        <v>105</v>
      </c>
      <c r="B28" t="str">
        <f t="shared" si="0"/>
        <v>2016</v>
      </c>
      <c r="C28" s="10" t="str">
        <f t="shared" si="1"/>
        <v>February</v>
      </c>
      <c r="D28">
        <v>22978.82</v>
      </c>
    </row>
    <row r="29" spans="1:11" x14ac:dyDescent="0.3">
      <c r="A29" t="s">
        <v>106</v>
      </c>
      <c r="B29" t="str">
        <f t="shared" si="0"/>
        <v>2016</v>
      </c>
      <c r="C29" s="10" t="str">
        <f t="shared" si="1"/>
        <v>March</v>
      </c>
      <c r="D29">
        <v>51715.88</v>
      </c>
    </row>
    <row r="30" spans="1:11" x14ac:dyDescent="0.3">
      <c r="A30" t="s">
        <v>107</v>
      </c>
      <c r="B30" t="str">
        <f t="shared" si="0"/>
        <v>2016</v>
      </c>
      <c r="C30" s="10" t="str">
        <f t="shared" si="1"/>
        <v>April</v>
      </c>
      <c r="D30">
        <v>38750.04</v>
      </c>
    </row>
    <row r="31" spans="1:11" x14ac:dyDescent="0.3">
      <c r="A31" t="s">
        <v>108</v>
      </c>
      <c r="B31" t="str">
        <f t="shared" si="0"/>
        <v>2016</v>
      </c>
      <c r="C31" s="10" t="str">
        <f t="shared" si="1"/>
        <v>May</v>
      </c>
      <c r="D31">
        <v>56987.73</v>
      </c>
    </row>
    <row r="32" spans="1:11" x14ac:dyDescent="0.3">
      <c r="A32" t="s">
        <v>109</v>
      </c>
      <c r="B32" t="str">
        <f t="shared" si="0"/>
        <v>2016</v>
      </c>
      <c r="C32" s="10" t="str">
        <f t="shared" si="1"/>
        <v>June</v>
      </c>
      <c r="D32">
        <v>40344.53</v>
      </c>
    </row>
    <row r="33" spans="1:4" x14ac:dyDescent="0.3">
      <c r="A33" t="s">
        <v>110</v>
      </c>
      <c r="B33" t="str">
        <f t="shared" si="0"/>
        <v>2016</v>
      </c>
      <c r="C33" s="10" t="str">
        <f t="shared" si="1"/>
        <v>July</v>
      </c>
      <c r="D33">
        <v>39261.96</v>
      </c>
    </row>
    <row r="34" spans="1:4" x14ac:dyDescent="0.3">
      <c r="A34" t="s">
        <v>111</v>
      </c>
      <c r="B34" t="str">
        <f t="shared" si="0"/>
        <v>2016</v>
      </c>
      <c r="C34" s="10" t="str">
        <f t="shared" si="1"/>
        <v>August</v>
      </c>
      <c r="D34">
        <v>31115.37</v>
      </c>
    </row>
    <row r="35" spans="1:4" x14ac:dyDescent="0.3">
      <c r="A35" t="s">
        <v>112</v>
      </c>
      <c r="B35" t="str">
        <f t="shared" si="0"/>
        <v>2016</v>
      </c>
      <c r="C35" s="10" t="str">
        <f t="shared" si="1"/>
        <v>September</v>
      </c>
      <c r="D35">
        <v>73410.02</v>
      </c>
    </row>
    <row r="36" spans="1:4" x14ac:dyDescent="0.3">
      <c r="A36" t="s">
        <v>113</v>
      </c>
      <c r="B36" t="str">
        <f t="shared" si="0"/>
        <v>2016</v>
      </c>
      <c r="C36" s="10" t="str">
        <f t="shared" si="1"/>
        <v>October</v>
      </c>
      <c r="D36">
        <v>59687.75</v>
      </c>
    </row>
    <row r="37" spans="1:4" x14ac:dyDescent="0.3">
      <c r="A37" t="s">
        <v>114</v>
      </c>
      <c r="B37" t="str">
        <f t="shared" si="0"/>
        <v>2016</v>
      </c>
      <c r="C37" s="10" t="str">
        <f t="shared" si="1"/>
        <v>November</v>
      </c>
      <c r="D37">
        <v>79411.97</v>
      </c>
    </row>
    <row r="38" spans="1:4" x14ac:dyDescent="0.3">
      <c r="A38" t="s">
        <v>115</v>
      </c>
      <c r="B38" t="str">
        <f t="shared" si="0"/>
        <v>2016</v>
      </c>
      <c r="C38" s="10" t="str">
        <f t="shared" si="1"/>
        <v>December</v>
      </c>
      <c r="D38">
        <v>96999.039999999994</v>
      </c>
    </row>
    <row r="39" spans="1:4" x14ac:dyDescent="0.3">
      <c r="A39" t="s">
        <v>116</v>
      </c>
      <c r="B39" t="str">
        <f t="shared" si="0"/>
        <v>2017</v>
      </c>
      <c r="C39" s="10" t="str">
        <f t="shared" si="1"/>
        <v>January</v>
      </c>
      <c r="D39">
        <v>43971.37</v>
      </c>
    </row>
    <row r="40" spans="1:4" x14ac:dyDescent="0.3">
      <c r="A40" t="s">
        <v>117</v>
      </c>
      <c r="B40" t="str">
        <f t="shared" si="0"/>
        <v>2017</v>
      </c>
      <c r="C40" s="10" t="str">
        <f t="shared" si="1"/>
        <v>February</v>
      </c>
      <c r="D40">
        <v>20301.13</v>
      </c>
    </row>
    <row r="41" spans="1:4" x14ac:dyDescent="0.3">
      <c r="A41" t="s">
        <v>118</v>
      </c>
      <c r="B41" t="str">
        <f t="shared" si="0"/>
        <v>2017</v>
      </c>
      <c r="C41" s="10" t="str">
        <f t="shared" si="1"/>
        <v>March</v>
      </c>
      <c r="D41">
        <v>58872.35</v>
      </c>
    </row>
    <row r="42" spans="1:4" x14ac:dyDescent="0.3">
      <c r="A42" t="s">
        <v>119</v>
      </c>
      <c r="B42" t="str">
        <f t="shared" si="0"/>
        <v>2017</v>
      </c>
      <c r="C42" s="10" t="str">
        <f t="shared" si="1"/>
        <v>April</v>
      </c>
      <c r="D42">
        <v>36521.54</v>
      </c>
    </row>
    <row r="43" spans="1:4" x14ac:dyDescent="0.3">
      <c r="A43" t="s">
        <v>120</v>
      </c>
      <c r="B43" t="str">
        <f t="shared" si="0"/>
        <v>2017</v>
      </c>
      <c r="C43" s="10" t="str">
        <f t="shared" si="1"/>
        <v>May</v>
      </c>
      <c r="D43">
        <v>44261.11</v>
      </c>
    </row>
    <row r="44" spans="1:4" x14ac:dyDescent="0.3">
      <c r="A44" t="s">
        <v>121</v>
      </c>
      <c r="B44" t="str">
        <f t="shared" si="0"/>
        <v>2017</v>
      </c>
      <c r="C44" s="10" t="str">
        <f t="shared" si="1"/>
        <v>June</v>
      </c>
      <c r="D44">
        <v>52981.73</v>
      </c>
    </row>
    <row r="45" spans="1:4" x14ac:dyDescent="0.3">
      <c r="A45" t="s">
        <v>122</v>
      </c>
      <c r="B45" t="str">
        <f t="shared" si="0"/>
        <v>2017</v>
      </c>
      <c r="C45" s="10" t="str">
        <f t="shared" si="1"/>
        <v>July</v>
      </c>
      <c r="D45">
        <v>45264.42</v>
      </c>
    </row>
    <row r="46" spans="1:4" x14ac:dyDescent="0.3">
      <c r="A46" t="s">
        <v>123</v>
      </c>
      <c r="B46" t="str">
        <f t="shared" si="0"/>
        <v>2017</v>
      </c>
      <c r="C46" s="10" t="str">
        <f t="shared" si="1"/>
        <v>August</v>
      </c>
      <c r="D46">
        <v>63120.89</v>
      </c>
    </row>
    <row r="47" spans="1:4" x14ac:dyDescent="0.3">
      <c r="A47" t="s">
        <v>124</v>
      </c>
      <c r="B47" t="str">
        <f t="shared" si="0"/>
        <v>2017</v>
      </c>
      <c r="C47" s="10" t="str">
        <f t="shared" si="1"/>
        <v>September</v>
      </c>
      <c r="D47">
        <v>87866.65</v>
      </c>
    </row>
    <row r="48" spans="1:4" x14ac:dyDescent="0.3">
      <c r="A48" t="s">
        <v>125</v>
      </c>
      <c r="B48" t="str">
        <f t="shared" si="0"/>
        <v>2017</v>
      </c>
      <c r="C48" s="10" t="str">
        <f t="shared" si="1"/>
        <v>October</v>
      </c>
      <c r="D48">
        <v>77776.92</v>
      </c>
    </row>
    <row r="49" spans="1:4" x14ac:dyDescent="0.3">
      <c r="A49" t="s">
        <v>126</v>
      </c>
      <c r="B49" t="str">
        <f t="shared" si="0"/>
        <v>2017</v>
      </c>
      <c r="C49" s="10" t="str">
        <f t="shared" si="1"/>
        <v>November</v>
      </c>
      <c r="D49">
        <v>118447.83</v>
      </c>
    </row>
    <row r="50" spans="1:4" x14ac:dyDescent="0.3">
      <c r="A50" t="s">
        <v>127</v>
      </c>
      <c r="B50" t="str">
        <f t="shared" si="0"/>
        <v>2017</v>
      </c>
      <c r="C50" s="10" t="str">
        <f t="shared" si="1"/>
        <v>December</v>
      </c>
      <c r="D50">
        <v>83829.320000000007</v>
      </c>
    </row>
    <row r="51" spans="1:4" x14ac:dyDescent="0.3">
      <c r="B51" t="str">
        <f t="shared" si="0"/>
        <v/>
      </c>
    </row>
    <row r="52" spans="1:4" x14ac:dyDescent="0.3">
      <c r="B52" t="str">
        <f t="shared" si="0"/>
        <v/>
      </c>
    </row>
  </sheetData>
  <pageMargins left="0.75" right="0.75" top="1" bottom="1" header="0.5" footer="0.5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4"/>
  <sheetViews>
    <sheetView workbookViewId="0">
      <selection activeCell="O14" sqref="O14"/>
    </sheetView>
  </sheetViews>
  <sheetFormatPr defaultRowHeight="14.4" x14ac:dyDescent="0.3"/>
  <sheetData>
    <row r="1" spans="2:3" x14ac:dyDescent="0.3">
      <c r="C1" s="3" t="s">
        <v>2273</v>
      </c>
    </row>
    <row r="2" spans="2:3" x14ac:dyDescent="0.3">
      <c r="B2" s="1" t="s">
        <v>128</v>
      </c>
      <c r="C2" s="1" t="s">
        <v>129</v>
      </c>
    </row>
    <row r="3" spans="2:3" x14ac:dyDescent="0.3">
      <c r="B3">
        <v>0</v>
      </c>
      <c r="C3">
        <v>66.900000000000006</v>
      </c>
    </row>
    <row r="4" spans="2:3" x14ac:dyDescent="0.3">
      <c r="B4">
        <v>0.1</v>
      </c>
      <c r="C4">
        <v>96.06</v>
      </c>
    </row>
    <row r="5" spans="2:3" x14ac:dyDescent="0.3">
      <c r="B5">
        <v>0.15</v>
      </c>
      <c r="C5">
        <v>27.29</v>
      </c>
    </row>
    <row r="6" spans="2:3" x14ac:dyDescent="0.3">
      <c r="B6">
        <v>0.2</v>
      </c>
      <c r="C6">
        <v>24.7</v>
      </c>
    </row>
    <row r="7" spans="2:3" x14ac:dyDescent="0.3">
      <c r="B7">
        <v>0.3</v>
      </c>
      <c r="C7">
        <v>-45.68</v>
      </c>
    </row>
    <row r="8" spans="2:3" x14ac:dyDescent="0.3">
      <c r="B8">
        <v>0.32</v>
      </c>
      <c r="C8">
        <v>-88.56</v>
      </c>
    </row>
    <row r="9" spans="2:3" x14ac:dyDescent="0.3">
      <c r="B9">
        <v>0.4</v>
      </c>
      <c r="C9">
        <v>-111.93</v>
      </c>
    </row>
    <row r="10" spans="2:3" x14ac:dyDescent="0.3">
      <c r="B10">
        <v>0.45</v>
      </c>
      <c r="C10">
        <v>-226.65</v>
      </c>
    </row>
    <row r="11" spans="2:3" x14ac:dyDescent="0.3">
      <c r="B11">
        <v>0.5</v>
      </c>
      <c r="C11">
        <v>-310.7</v>
      </c>
    </row>
    <row r="12" spans="2:3" x14ac:dyDescent="0.3">
      <c r="B12">
        <v>0.6</v>
      </c>
      <c r="C12">
        <v>-43.08</v>
      </c>
    </row>
    <row r="13" spans="2:3" x14ac:dyDescent="0.3">
      <c r="B13">
        <v>0.7</v>
      </c>
      <c r="C13">
        <v>-95.87</v>
      </c>
    </row>
    <row r="14" spans="2:3" x14ac:dyDescent="0.3">
      <c r="B14">
        <v>0.8</v>
      </c>
      <c r="C14">
        <v>-101.8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>
      <selection activeCell="Q10" sqref="Q10"/>
    </sheetView>
  </sheetViews>
  <sheetFormatPr defaultRowHeight="14.4" x14ac:dyDescent="0.3"/>
  <cols>
    <col min="2" max="2" width="13.88671875" customWidth="1"/>
  </cols>
  <sheetData>
    <row r="1" spans="1:4" x14ac:dyDescent="0.3">
      <c r="B1" s="3" t="s">
        <v>2274</v>
      </c>
    </row>
    <row r="2" spans="1:4" x14ac:dyDescent="0.3">
      <c r="A2" s="4" t="s">
        <v>2257</v>
      </c>
      <c r="B2" s="1" t="s">
        <v>130</v>
      </c>
      <c r="C2" s="1" t="s">
        <v>131</v>
      </c>
      <c r="D2" s="1" t="s">
        <v>6</v>
      </c>
    </row>
    <row r="3" spans="1:4" x14ac:dyDescent="0.3">
      <c r="A3">
        <v>1</v>
      </c>
      <c r="B3" t="s">
        <v>132</v>
      </c>
      <c r="C3">
        <v>5968</v>
      </c>
      <c r="D3">
        <v>1358215.74</v>
      </c>
    </row>
    <row r="4" spans="1:4" x14ac:dyDescent="0.3">
      <c r="A4">
        <v>2</v>
      </c>
      <c r="B4" t="s">
        <v>133</v>
      </c>
      <c r="C4">
        <v>1945</v>
      </c>
      <c r="D4">
        <v>459193.57</v>
      </c>
    </row>
    <row r="5" spans="1:4" x14ac:dyDescent="0.3">
      <c r="A5">
        <v>3</v>
      </c>
      <c r="B5" t="s">
        <v>134</v>
      </c>
      <c r="C5">
        <v>1538</v>
      </c>
      <c r="D5">
        <v>351428.42</v>
      </c>
    </row>
    <row r="6" spans="1:4" x14ac:dyDescent="0.3">
      <c r="A6">
        <v>4</v>
      </c>
      <c r="B6" t="s">
        <v>135</v>
      </c>
      <c r="C6">
        <v>543</v>
      </c>
      <c r="D6">
        <v>128363.13</v>
      </c>
    </row>
    <row r="8" spans="1:4" x14ac:dyDescent="0.3">
      <c r="B8" s="3"/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K1852"/>
  <sheetViews>
    <sheetView topLeftCell="F1" workbookViewId="0">
      <selection activeCell="O8" sqref="O8"/>
    </sheetView>
  </sheetViews>
  <sheetFormatPr defaultRowHeight="14.4" x14ac:dyDescent="0.3"/>
  <cols>
    <col min="2" max="2" width="25.5546875" customWidth="1"/>
    <col min="6" max="6" width="77.88671875" customWidth="1"/>
    <col min="7" max="7" width="15.77734375" customWidth="1"/>
    <col min="8" max="8" width="20.33203125" customWidth="1"/>
    <col min="10" max="10" width="12.6640625" bestFit="1" customWidth="1"/>
    <col min="11" max="11" width="21.109375" bestFit="1" customWidth="1"/>
  </cols>
  <sheetData>
    <row r="1" spans="1:11" x14ac:dyDescent="0.3">
      <c r="B1" s="3" t="s">
        <v>2275</v>
      </c>
      <c r="F1" s="3" t="s">
        <v>2277</v>
      </c>
    </row>
    <row r="2" spans="1:11" x14ac:dyDescent="0.3">
      <c r="A2" s="4" t="s">
        <v>2257</v>
      </c>
      <c r="B2" s="1" t="s">
        <v>5</v>
      </c>
      <c r="C2" s="1" t="s">
        <v>6</v>
      </c>
      <c r="D2" s="1" t="s">
        <v>136</v>
      </c>
      <c r="F2" s="1" t="s">
        <v>29</v>
      </c>
      <c r="G2" s="1" t="s">
        <v>10</v>
      </c>
      <c r="H2" s="1" t="s">
        <v>421</v>
      </c>
    </row>
    <row r="3" spans="1:11" x14ac:dyDescent="0.3">
      <c r="A3">
        <v>1</v>
      </c>
      <c r="B3" t="s">
        <v>7</v>
      </c>
      <c r="C3">
        <v>836154.03299999656</v>
      </c>
      <c r="D3">
        <v>1</v>
      </c>
      <c r="F3" t="s">
        <v>422</v>
      </c>
      <c r="G3">
        <v>10.388</v>
      </c>
      <c r="H3" t="s">
        <v>423</v>
      </c>
      <c r="J3" s="7" t="s">
        <v>2278</v>
      </c>
      <c r="K3" t="s">
        <v>2302</v>
      </c>
    </row>
    <row r="4" spans="1:11" x14ac:dyDescent="0.3">
      <c r="A4">
        <v>2</v>
      </c>
      <c r="B4" t="s">
        <v>8</v>
      </c>
      <c r="C4">
        <v>741999.79529999977</v>
      </c>
      <c r="D4">
        <v>2</v>
      </c>
      <c r="F4" t="s">
        <v>424</v>
      </c>
      <c r="G4">
        <v>16.767800000000001</v>
      </c>
      <c r="H4" t="s">
        <v>423</v>
      </c>
      <c r="J4" s="8" t="s">
        <v>433</v>
      </c>
      <c r="K4">
        <v>169</v>
      </c>
    </row>
    <row r="5" spans="1:11" x14ac:dyDescent="0.3">
      <c r="A5">
        <v>3</v>
      </c>
      <c r="B5" t="s">
        <v>9</v>
      </c>
      <c r="C5">
        <v>719047.03200000292</v>
      </c>
      <c r="D5">
        <v>3</v>
      </c>
      <c r="F5" t="s">
        <v>425</v>
      </c>
      <c r="G5">
        <v>52.122999999999998</v>
      </c>
      <c r="H5" t="s">
        <v>423</v>
      </c>
      <c r="J5" s="8" t="s">
        <v>423</v>
      </c>
      <c r="K5">
        <v>1259</v>
      </c>
    </row>
    <row r="6" spans="1:11" x14ac:dyDescent="0.3">
      <c r="F6" t="s">
        <v>426</v>
      </c>
      <c r="G6">
        <v>223.14080000000001</v>
      </c>
      <c r="H6" t="s">
        <v>427</v>
      </c>
      <c r="J6" s="8" t="s">
        <v>427</v>
      </c>
      <c r="K6">
        <v>422</v>
      </c>
    </row>
    <row r="7" spans="1:11" x14ac:dyDescent="0.3">
      <c r="B7" s="3" t="s">
        <v>2276</v>
      </c>
      <c r="F7" t="s">
        <v>428</v>
      </c>
      <c r="G7">
        <v>115.28060000000001</v>
      </c>
      <c r="H7" t="s">
        <v>427</v>
      </c>
      <c r="J7" s="8" t="s">
        <v>2279</v>
      </c>
      <c r="K7">
        <v>1850</v>
      </c>
    </row>
    <row r="8" spans="1:11" x14ac:dyDescent="0.3">
      <c r="A8" s="4" t="s">
        <v>2257</v>
      </c>
      <c r="B8" s="1" t="s">
        <v>48</v>
      </c>
      <c r="C8" s="6" t="s">
        <v>6</v>
      </c>
      <c r="F8" t="s">
        <v>429</v>
      </c>
      <c r="G8">
        <v>64.863600000000005</v>
      </c>
      <c r="H8" t="s">
        <v>423</v>
      </c>
    </row>
    <row r="9" spans="1:11" x14ac:dyDescent="0.3">
      <c r="A9">
        <v>1</v>
      </c>
      <c r="B9" t="s">
        <v>137</v>
      </c>
      <c r="C9">
        <v>25043.05</v>
      </c>
      <c r="F9" t="s">
        <v>430</v>
      </c>
      <c r="G9">
        <v>63.747</v>
      </c>
      <c r="H9" t="s">
        <v>423</v>
      </c>
    </row>
    <row r="10" spans="1:11" x14ac:dyDescent="0.3">
      <c r="A10">
        <v>2</v>
      </c>
      <c r="B10" t="s">
        <v>138</v>
      </c>
      <c r="C10">
        <v>19052.218000000001</v>
      </c>
      <c r="F10" t="s">
        <v>431</v>
      </c>
      <c r="G10">
        <v>24.948</v>
      </c>
      <c r="H10" t="s">
        <v>423</v>
      </c>
    </row>
    <row r="11" spans="1:11" x14ac:dyDescent="0.3">
      <c r="A11">
        <v>3</v>
      </c>
      <c r="B11" t="s">
        <v>139</v>
      </c>
      <c r="C11">
        <v>15117.339</v>
      </c>
      <c r="F11" t="s">
        <v>432</v>
      </c>
      <c r="G11">
        <v>578.68480000000011</v>
      </c>
      <c r="H11" t="s">
        <v>433</v>
      </c>
    </row>
    <row r="12" spans="1:11" x14ac:dyDescent="0.3">
      <c r="A12">
        <v>4</v>
      </c>
      <c r="B12" t="s">
        <v>140</v>
      </c>
      <c r="C12">
        <v>14595.62</v>
      </c>
      <c r="F12" t="s">
        <v>434</v>
      </c>
      <c r="G12">
        <v>22.711500000000001</v>
      </c>
      <c r="H12" t="s">
        <v>423</v>
      </c>
    </row>
    <row r="13" spans="1:11" x14ac:dyDescent="0.3">
      <c r="A13">
        <v>5</v>
      </c>
      <c r="B13" t="s">
        <v>53</v>
      </c>
      <c r="C13">
        <v>14473.571</v>
      </c>
      <c r="F13" t="s">
        <v>435</v>
      </c>
      <c r="G13">
        <v>3.016</v>
      </c>
      <c r="H13" t="s">
        <v>423</v>
      </c>
    </row>
    <row r="14" spans="1:11" x14ac:dyDescent="0.3">
      <c r="A14">
        <v>6</v>
      </c>
      <c r="B14" t="s">
        <v>141</v>
      </c>
      <c r="C14">
        <v>14175.228999999999</v>
      </c>
      <c r="F14" t="s">
        <v>436</v>
      </c>
      <c r="G14">
        <v>91.108800000000002</v>
      </c>
      <c r="H14" t="s">
        <v>423</v>
      </c>
    </row>
    <row r="15" spans="1:11" x14ac:dyDescent="0.3">
      <c r="A15">
        <v>7</v>
      </c>
      <c r="B15" t="s">
        <v>142</v>
      </c>
      <c r="C15">
        <v>14142.334000000001</v>
      </c>
      <c r="F15" t="s">
        <v>437</v>
      </c>
      <c r="G15">
        <v>172.94399999999999</v>
      </c>
      <c r="H15" t="s">
        <v>427</v>
      </c>
    </row>
    <row r="16" spans="1:11" x14ac:dyDescent="0.3">
      <c r="A16">
        <v>8</v>
      </c>
      <c r="B16" t="s">
        <v>143</v>
      </c>
      <c r="C16">
        <v>12873.298000000001</v>
      </c>
      <c r="F16" t="s">
        <v>438</v>
      </c>
      <c r="G16">
        <v>20.9832</v>
      </c>
      <c r="H16" t="s">
        <v>423</v>
      </c>
    </row>
    <row r="17" spans="1:8" x14ac:dyDescent="0.3">
      <c r="A17">
        <v>9</v>
      </c>
      <c r="B17" t="s">
        <v>144</v>
      </c>
      <c r="C17">
        <v>12209.438</v>
      </c>
      <c r="F17" t="s">
        <v>439</v>
      </c>
      <c r="G17">
        <v>536.90249999999992</v>
      </c>
      <c r="H17" t="s">
        <v>433</v>
      </c>
    </row>
    <row r="18" spans="1:8" x14ac:dyDescent="0.3">
      <c r="A18">
        <v>10</v>
      </c>
      <c r="B18" t="s">
        <v>145</v>
      </c>
      <c r="C18">
        <v>12129.072</v>
      </c>
      <c r="F18" t="s">
        <v>440</v>
      </c>
      <c r="G18">
        <v>180.0198</v>
      </c>
      <c r="H18" t="s">
        <v>427</v>
      </c>
    </row>
    <row r="19" spans="1:8" hidden="1" x14ac:dyDescent="0.3">
      <c r="A19">
        <v>11</v>
      </c>
      <c r="B19" t="s">
        <v>146</v>
      </c>
      <c r="C19">
        <v>11891.751</v>
      </c>
      <c r="F19" t="s">
        <v>441</v>
      </c>
      <c r="G19">
        <v>16.694400000000002</v>
      </c>
      <c r="H19" t="s">
        <v>423</v>
      </c>
    </row>
    <row r="20" spans="1:8" hidden="1" x14ac:dyDescent="0.3">
      <c r="A20">
        <v>12</v>
      </c>
      <c r="B20" t="s">
        <v>147</v>
      </c>
      <c r="C20">
        <v>11820.12</v>
      </c>
      <c r="F20" t="s">
        <v>442</v>
      </c>
      <c r="G20">
        <v>-872.0752</v>
      </c>
      <c r="H20" t="s">
        <v>423</v>
      </c>
    </row>
    <row r="21" spans="1:8" hidden="1" x14ac:dyDescent="0.3">
      <c r="A21">
        <v>13</v>
      </c>
      <c r="B21" t="s">
        <v>148</v>
      </c>
      <c r="C21">
        <v>11789.63</v>
      </c>
      <c r="F21" t="s">
        <v>443</v>
      </c>
      <c r="G21">
        <v>-40.491399999999992</v>
      </c>
      <c r="H21" t="s">
        <v>423</v>
      </c>
    </row>
    <row r="22" spans="1:8" hidden="1" x14ac:dyDescent="0.3">
      <c r="A22">
        <v>14</v>
      </c>
      <c r="B22" t="s">
        <v>149</v>
      </c>
      <c r="C22">
        <v>11470.95</v>
      </c>
      <c r="F22" t="s">
        <v>444</v>
      </c>
      <c r="G22">
        <v>3717.9713999999999</v>
      </c>
      <c r="H22" t="s">
        <v>433</v>
      </c>
    </row>
    <row r="23" spans="1:8" hidden="1" x14ac:dyDescent="0.3">
      <c r="A23">
        <v>15</v>
      </c>
      <c r="B23" t="s">
        <v>150</v>
      </c>
      <c r="C23">
        <v>11164.974</v>
      </c>
      <c r="F23" t="s">
        <v>445</v>
      </c>
      <c r="G23">
        <v>-467.99639999999999</v>
      </c>
      <c r="H23" t="s">
        <v>423</v>
      </c>
    </row>
    <row r="24" spans="1:8" hidden="1" x14ac:dyDescent="0.3">
      <c r="A24">
        <v>16</v>
      </c>
      <c r="B24" t="s">
        <v>151</v>
      </c>
      <c r="C24">
        <v>10880.546</v>
      </c>
      <c r="F24" t="s">
        <v>446</v>
      </c>
      <c r="G24">
        <v>36.000999999999998</v>
      </c>
      <c r="H24" t="s">
        <v>423</v>
      </c>
    </row>
    <row r="25" spans="1:8" hidden="1" x14ac:dyDescent="0.3">
      <c r="A25">
        <v>17</v>
      </c>
      <c r="B25" t="s">
        <v>152</v>
      </c>
      <c r="C25">
        <v>10663.727999999999</v>
      </c>
      <c r="F25" t="s">
        <v>447</v>
      </c>
      <c r="G25">
        <v>90.93</v>
      </c>
      <c r="H25" t="s">
        <v>423</v>
      </c>
    </row>
    <row r="26" spans="1:8" hidden="1" x14ac:dyDescent="0.3">
      <c r="A26">
        <v>18</v>
      </c>
      <c r="B26" t="s">
        <v>153</v>
      </c>
      <c r="C26">
        <v>10604.266</v>
      </c>
      <c r="F26" t="s">
        <v>448</v>
      </c>
      <c r="G26">
        <v>10.151999999999999</v>
      </c>
      <c r="H26" t="s">
        <v>423</v>
      </c>
    </row>
    <row r="27" spans="1:8" hidden="1" x14ac:dyDescent="0.3">
      <c r="A27">
        <v>19</v>
      </c>
      <c r="B27" t="s">
        <v>154</v>
      </c>
      <c r="C27">
        <v>10501.653</v>
      </c>
      <c r="F27" t="s">
        <v>449</v>
      </c>
      <c r="G27">
        <v>75.346000000000004</v>
      </c>
      <c r="H27" t="s">
        <v>423</v>
      </c>
    </row>
    <row r="28" spans="1:8" hidden="1" x14ac:dyDescent="0.3">
      <c r="A28">
        <v>20</v>
      </c>
      <c r="B28" t="s">
        <v>155</v>
      </c>
      <c r="C28">
        <v>10310.879999999999</v>
      </c>
      <c r="F28" t="s">
        <v>450</v>
      </c>
      <c r="G28">
        <v>569.83680000000004</v>
      </c>
      <c r="H28" t="s">
        <v>433</v>
      </c>
    </row>
    <row r="29" spans="1:8" hidden="1" x14ac:dyDescent="0.3">
      <c r="A29">
        <v>21</v>
      </c>
      <c r="B29" t="s">
        <v>156</v>
      </c>
      <c r="C29">
        <v>9799.9230000000007</v>
      </c>
      <c r="F29" t="s">
        <v>451</v>
      </c>
      <c r="G29">
        <v>-20.476800000000001</v>
      </c>
      <c r="H29" t="s">
        <v>423</v>
      </c>
    </row>
    <row r="30" spans="1:8" hidden="1" x14ac:dyDescent="0.3">
      <c r="A30">
        <v>22</v>
      </c>
      <c r="B30" t="s">
        <v>157</v>
      </c>
      <c r="C30">
        <v>9351.2119999999977</v>
      </c>
      <c r="F30" t="s">
        <v>452</v>
      </c>
      <c r="G30">
        <v>2.7336</v>
      </c>
      <c r="H30" t="s">
        <v>423</v>
      </c>
    </row>
    <row r="31" spans="1:8" hidden="1" x14ac:dyDescent="0.3">
      <c r="A31">
        <v>23</v>
      </c>
      <c r="B31" t="s">
        <v>158</v>
      </c>
      <c r="C31">
        <v>9300.2539999999972</v>
      </c>
      <c r="F31" t="s">
        <v>453</v>
      </c>
      <c r="G31">
        <v>53.809599999999989</v>
      </c>
      <c r="H31" t="s">
        <v>423</v>
      </c>
    </row>
    <row r="32" spans="1:8" hidden="1" x14ac:dyDescent="0.3">
      <c r="A32">
        <v>24</v>
      </c>
      <c r="B32" t="s">
        <v>159</v>
      </c>
      <c r="C32">
        <v>9133.99</v>
      </c>
      <c r="F32" t="s">
        <v>454</v>
      </c>
      <c r="G32">
        <v>32.918399999999998</v>
      </c>
      <c r="H32" t="s">
        <v>423</v>
      </c>
    </row>
    <row r="33" spans="1:8" hidden="1" x14ac:dyDescent="0.3">
      <c r="A33">
        <v>25</v>
      </c>
      <c r="B33" t="s">
        <v>160</v>
      </c>
      <c r="C33">
        <v>9062.8639999999978</v>
      </c>
      <c r="F33" t="s">
        <v>455</v>
      </c>
      <c r="G33">
        <v>26.211600000000001</v>
      </c>
      <c r="H33" t="s">
        <v>423</v>
      </c>
    </row>
    <row r="34" spans="1:8" hidden="1" x14ac:dyDescent="0.3">
      <c r="A34">
        <v>26</v>
      </c>
      <c r="B34" t="s">
        <v>161</v>
      </c>
      <c r="C34">
        <v>8954.02</v>
      </c>
      <c r="F34" t="s">
        <v>456</v>
      </c>
      <c r="G34">
        <v>183.13120000000001</v>
      </c>
      <c r="H34" t="s">
        <v>427</v>
      </c>
    </row>
    <row r="35" spans="1:8" hidden="1" x14ac:dyDescent="0.3">
      <c r="A35">
        <v>27</v>
      </c>
      <c r="B35" t="s">
        <v>162</v>
      </c>
      <c r="C35">
        <v>8828.0304999999989</v>
      </c>
      <c r="F35" t="s">
        <v>457</v>
      </c>
      <c r="G35">
        <v>50.7164</v>
      </c>
      <c r="H35" t="s">
        <v>423</v>
      </c>
    </row>
    <row r="36" spans="1:8" hidden="1" x14ac:dyDescent="0.3">
      <c r="A36">
        <v>28</v>
      </c>
      <c r="B36" t="s">
        <v>163</v>
      </c>
      <c r="C36">
        <v>8697.8430000000008</v>
      </c>
      <c r="F36" t="s">
        <v>458</v>
      </c>
      <c r="G36">
        <v>19.287099999999999</v>
      </c>
      <c r="H36" t="s">
        <v>423</v>
      </c>
    </row>
    <row r="37" spans="1:8" hidden="1" x14ac:dyDescent="0.3">
      <c r="A37">
        <v>29</v>
      </c>
      <c r="B37" t="s">
        <v>164</v>
      </c>
      <c r="C37">
        <v>8673.2219999999979</v>
      </c>
      <c r="F37" t="s">
        <v>459</v>
      </c>
      <c r="G37">
        <v>80.479999999999976</v>
      </c>
      <c r="H37" t="s">
        <v>423</v>
      </c>
    </row>
    <row r="38" spans="1:8" hidden="1" x14ac:dyDescent="0.3">
      <c r="A38">
        <v>30</v>
      </c>
      <c r="B38" t="s">
        <v>165</v>
      </c>
      <c r="C38">
        <v>8646.9339999999975</v>
      </c>
      <c r="F38" t="s">
        <v>460</v>
      </c>
      <c r="G38">
        <v>-15.593999999999999</v>
      </c>
      <c r="H38" t="s">
        <v>423</v>
      </c>
    </row>
    <row r="39" spans="1:8" hidden="1" x14ac:dyDescent="0.3">
      <c r="A39">
        <v>31</v>
      </c>
      <c r="B39" t="s">
        <v>166</v>
      </c>
      <c r="C39">
        <v>8350.8680000000004</v>
      </c>
      <c r="F39" t="s">
        <v>461</v>
      </c>
      <c r="G39">
        <v>133.78800000000001</v>
      </c>
      <c r="H39" t="s">
        <v>427</v>
      </c>
    </row>
    <row r="40" spans="1:8" hidden="1" x14ac:dyDescent="0.3">
      <c r="A40">
        <v>32</v>
      </c>
      <c r="B40" t="s">
        <v>167</v>
      </c>
      <c r="C40">
        <v>8322.8260000000009</v>
      </c>
      <c r="F40" t="s">
        <v>462</v>
      </c>
      <c r="G40">
        <v>145.20939999999999</v>
      </c>
      <c r="H40" t="s">
        <v>427</v>
      </c>
    </row>
    <row r="41" spans="1:8" hidden="1" x14ac:dyDescent="0.3">
      <c r="A41">
        <v>33</v>
      </c>
      <c r="B41" t="s">
        <v>168</v>
      </c>
      <c r="C41">
        <v>8282.3580000000002</v>
      </c>
      <c r="F41" t="s">
        <v>463</v>
      </c>
      <c r="G41">
        <v>271.24020000000002</v>
      </c>
      <c r="H41" t="s">
        <v>427</v>
      </c>
    </row>
    <row r="42" spans="1:8" hidden="1" x14ac:dyDescent="0.3">
      <c r="A42">
        <v>34</v>
      </c>
      <c r="B42" t="s">
        <v>169</v>
      </c>
      <c r="C42">
        <v>8241.7389999999996</v>
      </c>
      <c r="F42" t="s">
        <v>464</v>
      </c>
      <c r="G42">
        <v>167.38800000000001</v>
      </c>
      <c r="H42" t="s">
        <v>427</v>
      </c>
    </row>
    <row r="43" spans="1:8" hidden="1" x14ac:dyDescent="0.3">
      <c r="A43">
        <v>35</v>
      </c>
      <c r="B43" t="s">
        <v>170</v>
      </c>
      <c r="C43">
        <v>8236.7648000000008</v>
      </c>
      <c r="F43" t="s">
        <v>465</v>
      </c>
      <c r="G43">
        <v>165.6</v>
      </c>
      <c r="H43" t="s">
        <v>427</v>
      </c>
    </row>
    <row r="44" spans="1:8" hidden="1" x14ac:dyDescent="0.3">
      <c r="A44">
        <v>36</v>
      </c>
      <c r="B44" t="s">
        <v>171</v>
      </c>
      <c r="C44">
        <v>8181.2560000000003</v>
      </c>
      <c r="F44" t="s">
        <v>466</v>
      </c>
      <c r="G44">
        <v>50.395999999999987</v>
      </c>
      <c r="H44" t="s">
        <v>423</v>
      </c>
    </row>
    <row r="45" spans="1:8" hidden="1" x14ac:dyDescent="0.3">
      <c r="A45">
        <v>37</v>
      </c>
      <c r="B45" t="s">
        <v>172</v>
      </c>
      <c r="C45">
        <v>8057.8909999999987</v>
      </c>
      <c r="F45" t="s">
        <v>467</v>
      </c>
      <c r="G45">
        <v>131.32470000000001</v>
      </c>
      <c r="H45" t="s">
        <v>427</v>
      </c>
    </row>
    <row r="46" spans="1:8" hidden="1" x14ac:dyDescent="0.3">
      <c r="A46">
        <v>38</v>
      </c>
      <c r="B46" t="s">
        <v>173</v>
      </c>
      <c r="C46">
        <v>8025.7070000000012</v>
      </c>
      <c r="F46" t="s">
        <v>468</v>
      </c>
      <c r="G46">
        <v>473.77699999999999</v>
      </c>
      <c r="H46" t="s">
        <v>427</v>
      </c>
    </row>
    <row r="47" spans="1:8" hidden="1" x14ac:dyDescent="0.3">
      <c r="A47">
        <v>39</v>
      </c>
      <c r="B47" t="s">
        <v>174</v>
      </c>
      <c r="C47">
        <v>7954.9979999999996</v>
      </c>
      <c r="F47" t="s">
        <v>469</v>
      </c>
      <c r="G47">
        <v>109.6113</v>
      </c>
      <c r="H47" t="s">
        <v>427</v>
      </c>
    </row>
    <row r="48" spans="1:8" hidden="1" x14ac:dyDescent="0.3">
      <c r="A48">
        <v>40</v>
      </c>
      <c r="B48" t="s">
        <v>175</v>
      </c>
      <c r="C48">
        <v>7903.1825000000008</v>
      </c>
      <c r="F48" t="s">
        <v>470</v>
      </c>
      <c r="G48">
        <v>89.746400000000008</v>
      </c>
      <c r="H48" t="s">
        <v>423</v>
      </c>
    </row>
    <row r="49" spans="1:8" hidden="1" x14ac:dyDescent="0.3">
      <c r="A49">
        <v>41</v>
      </c>
      <c r="B49" t="s">
        <v>176</v>
      </c>
      <c r="C49">
        <v>7888.2940000000008</v>
      </c>
      <c r="F49" t="s">
        <v>471</v>
      </c>
      <c r="G49">
        <v>340.173</v>
      </c>
      <c r="H49" t="s">
        <v>427</v>
      </c>
    </row>
    <row r="50" spans="1:8" hidden="1" x14ac:dyDescent="0.3">
      <c r="A50">
        <v>42</v>
      </c>
      <c r="B50" t="s">
        <v>177</v>
      </c>
      <c r="C50">
        <v>7755.619999999999</v>
      </c>
      <c r="F50" t="s">
        <v>472</v>
      </c>
      <c r="G50">
        <v>575.33159999999998</v>
      </c>
      <c r="H50" t="s">
        <v>433</v>
      </c>
    </row>
    <row r="51" spans="1:8" hidden="1" x14ac:dyDescent="0.3">
      <c r="A51">
        <v>43</v>
      </c>
      <c r="B51" t="s">
        <v>178</v>
      </c>
      <c r="C51">
        <v>7754.9759999999997</v>
      </c>
      <c r="F51" t="s">
        <v>473</v>
      </c>
      <c r="G51">
        <v>482.58560000000011</v>
      </c>
      <c r="H51" t="s">
        <v>427</v>
      </c>
    </row>
    <row r="52" spans="1:8" hidden="1" x14ac:dyDescent="0.3">
      <c r="A52">
        <v>44</v>
      </c>
      <c r="B52" t="s">
        <v>179</v>
      </c>
      <c r="C52">
        <v>7721.7139999999999</v>
      </c>
      <c r="F52" t="s">
        <v>474</v>
      </c>
      <c r="G52">
        <v>55.538400000000003</v>
      </c>
      <c r="H52" t="s">
        <v>423</v>
      </c>
    </row>
    <row r="53" spans="1:8" hidden="1" x14ac:dyDescent="0.3">
      <c r="A53">
        <v>45</v>
      </c>
      <c r="B53" t="s">
        <v>180</v>
      </c>
      <c r="C53">
        <v>7663.1259999999993</v>
      </c>
      <c r="F53" t="s">
        <v>475</v>
      </c>
      <c r="G53">
        <v>-3.6608000000000001</v>
      </c>
      <c r="H53" t="s">
        <v>423</v>
      </c>
    </row>
    <row r="54" spans="1:8" hidden="1" x14ac:dyDescent="0.3">
      <c r="A54">
        <v>46</v>
      </c>
      <c r="B54" t="s">
        <v>181</v>
      </c>
      <c r="C54">
        <v>7625.0760000000018</v>
      </c>
      <c r="F54" t="s">
        <v>476</v>
      </c>
      <c r="G54">
        <v>-113.7672</v>
      </c>
      <c r="H54" t="s">
        <v>423</v>
      </c>
    </row>
    <row r="55" spans="1:8" hidden="1" x14ac:dyDescent="0.3">
      <c r="A55">
        <v>47</v>
      </c>
      <c r="B55" t="s">
        <v>182</v>
      </c>
      <c r="C55">
        <v>7610.8639999999996</v>
      </c>
      <c r="F55" t="s">
        <v>477</v>
      </c>
      <c r="G55">
        <v>60.423999999999992</v>
      </c>
      <c r="H55" t="s">
        <v>423</v>
      </c>
    </row>
    <row r="56" spans="1:8" hidden="1" x14ac:dyDescent="0.3">
      <c r="A56">
        <v>48</v>
      </c>
      <c r="B56" t="s">
        <v>183</v>
      </c>
      <c r="C56">
        <v>7473.8282000000008</v>
      </c>
      <c r="F56" t="s">
        <v>478</v>
      </c>
      <c r="G56">
        <v>22.971</v>
      </c>
      <c r="H56" t="s">
        <v>423</v>
      </c>
    </row>
    <row r="57" spans="1:8" hidden="1" x14ac:dyDescent="0.3">
      <c r="A57">
        <v>49</v>
      </c>
      <c r="B57" t="s">
        <v>184</v>
      </c>
      <c r="C57">
        <v>7443.6900000000014</v>
      </c>
      <c r="F57" t="s">
        <v>479</v>
      </c>
      <c r="G57">
        <v>401.214</v>
      </c>
      <c r="H57" t="s">
        <v>427</v>
      </c>
    </row>
    <row r="58" spans="1:8" hidden="1" x14ac:dyDescent="0.3">
      <c r="A58">
        <v>50</v>
      </c>
      <c r="B58" t="s">
        <v>185</v>
      </c>
      <c r="C58">
        <v>7397.4010000000007</v>
      </c>
      <c r="F58" t="s">
        <v>480</v>
      </c>
      <c r="G58">
        <v>18</v>
      </c>
      <c r="H58" t="s">
        <v>423</v>
      </c>
    </row>
    <row r="59" spans="1:8" hidden="1" x14ac:dyDescent="0.3">
      <c r="A59">
        <v>51</v>
      </c>
      <c r="B59" t="s">
        <v>58</v>
      </c>
      <c r="C59">
        <v>7294.1850000000004</v>
      </c>
      <c r="F59" t="s">
        <v>481</v>
      </c>
      <c r="G59">
        <v>30.281500000000001</v>
      </c>
      <c r="H59" t="s">
        <v>423</v>
      </c>
    </row>
    <row r="60" spans="1:8" hidden="1" x14ac:dyDescent="0.3">
      <c r="A60">
        <v>52</v>
      </c>
      <c r="B60" t="s">
        <v>186</v>
      </c>
      <c r="C60">
        <v>7252.608000000002</v>
      </c>
      <c r="F60" t="s">
        <v>482</v>
      </c>
      <c r="G60">
        <v>-102.8378</v>
      </c>
      <c r="H60" t="s">
        <v>423</v>
      </c>
    </row>
    <row r="61" spans="1:8" hidden="1" x14ac:dyDescent="0.3">
      <c r="A61">
        <v>53</v>
      </c>
      <c r="B61" t="s">
        <v>187</v>
      </c>
      <c r="C61">
        <v>7234.0139999999992</v>
      </c>
      <c r="F61" t="s">
        <v>483</v>
      </c>
      <c r="G61">
        <v>64.144500000000008</v>
      </c>
      <c r="H61" t="s">
        <v>423</v>
      </c>
    </row>
    <row r="62" spans="1:8" hidden="1" x14ac:dyDescent="0.3">
      <c r="A62">
        <v>54</v>
      </c>
      <c r="B62" t="s">
        <v>188</v>
      </c>
      <c r="C62">
        <v>7198.7609999999986</v>
      </c>
      <c r="F62" t="s">
        <v>484</v>
      </c>
      <c r="G62">
        <v>-5.7419999999999991</v>
      </c>
      <c r="H62" t="s">
        <v>423</v>
      </c>
    </row>
    <row r="63" spans="1:8" hidden="1" x14ac:dyDescent="0.3">
      <c r="A63">
        <v>55</v>
      </c>
      <c r="B63" t="s">
        <v>189</v>
      </c>
      <c r="C63">
        <v>6987.195999999999</v>
      </c>
      <c r="F63" t="s">
        <v>485</v>
      </c>
      <c r="G63">
        <v>1.0207999999999999</v>
      </c>
      <c r="H63" t="s">
        <v>423</v>
      </c>
    </row>
    <row r="64" spans="1:8" hidden="1" x14ac:dyDescent="0.3">
      <c r="A64">
        <v>56</v>
      </c>
      <c r="B64" t="s">
        <v>190</v>
      </c>
      <c r="C64">
        <v>6979.18</v>
      </c>
      <c r="F64" t="s">
        <v>486</v>
      </c>
      <c r="G64">
        <v>111.2868</v>
      </c>
      <c r="H64" t="s">
        <v>427</v>
      </c>
    </row>
    <row r="65" spans="1:8" hidden="1" x14ac:dyDescent="0.3">
      <c r="A65">
        <v>57</v>
      </c>
      <c r="B65" t="s">
        <v>191</v>
      </c>
      <c r="C65">
        <v>6843.6339999999991</v>
      </c>
      <c r="F65" t="s">
        <v>487</v>
      </c>
      <c r="G65">
        <v>7.4499999999999993</v>
      </c>
      <c r="H65" t="s">
        <v>423</v>
      </c>
    </row>
    <row r="66" spans="1:8" hidden="1" x14ac:dyDescent="0.3">
      <c r="A66">
        <v>58</v>
      </c>
      <c r="B66" t="s">
        <v>192</v>
      </c>
      <c r="C66">
        <v>6765.7279999999992</v>
      </c>
      <c r="F66" t="s">
        <v>488</v>
      </c>
      <c r="G66">
        <v>9.6039999999999992</v>
      </c>
      <c r="H66" t="s">
        <v>423</v>
      </c>
    </row>
    <row r="67" spans="1:8" hidden="1" x14ac:dyDescent="0.3">
      <c r="A67">
        <v>59</v>
      </c>
      <c r="B67" t="s">
        <v>193</v>
      </c>
      <c r="C67">
        <v>6760.8149999999987</v>
      </c>
      <c r="F67" t="s">
        <v>489</v>
      </c>
      <c r="G67">
        <v>8.2295999999999996</v>
      </c>
      <c r="H67" t="s">
        <v>423</v>
      </c>
    </row>
    <row r="68" spans="1:8" hidden="1" x14ac:dyDescent="0.3">
      <c r="A68">
        <v>60</v>
      </c>
      <c r="B68" t="s">
        <v>194</v>
      </c>
      <c r="C68">
        <v>6720.4439999999986</v>
      </c>
      <c r="F68" t="s">
        <v>490</v>
      </c>
      <c r="G68">
        <v>25.497499999999999</v>
      </c>
      <c r="H68" t="s">
        <v>423</v>
      </c>
    </row>
    <row r="69" spans="1:8" hidden="1" x14ac:dyDescent="0.3">
      <c r="A69">
        <v>61</v>
      </c>
      <c r="B69" t="s">
        <v>195</v>
      </c>
      <c r="C69">
        <v>6608.4480000000003</v>
      </c>
      <c r="F69" t="s">
        <v>491</v>
      </c>
      <c r="G69">
        <v>73.867400000000004</v>
      </c>
      <c r="H69" t="s">
        <v>423</v>
      </c>
    </row>
    <row r="70" spans="1:8" hidden="1" x14ac:dyDescent="0.3">
      <c r="A70">
        <v>62</v>
      </c>
      <c r="B70" t="s">
        <v>196</v>
      </c>
      <c r="C70">
        <v>6528.0339999999987</v>
      </c>
      <c r="F70" t="s">
        <v>492</v>
      </c>
      <c r="G70">
        <v>-0.1614000000000004</v>
      </c>
      <c r="H70" t="s">
        <v>423</v>
      </c>
    </row>
    <row r="71" spans="1:8" hidden="1" x14ac:dyDescent="0.3">
      <c r="A71">
        <v>63</v>
      </c>
      <c r="B71" t="s">
        <v>197</v>
      </c>
      <c r="C71">
        <v>6497.27</v>
      </c>
      <c r="F71" t="s">
        <v>493</v>
      </c>
      <c r="G71">
        <v>19.690799999999999</v>
      </c>
      <c r="H71" t="s">
        <v>423</v>
      </c>
    </row>
    <row r="72" spans="1:8" hidden="1" x14ac:dyDescent="0.3">
      <c r="A72">
        <v>64</v>
      </c>
      <c r="B72" t="s">
        <v>198</v>
      </c>
      <c r="C72">
        <v>6491.0260000000007</v>
      </c>
      <c r="F72" t="s">
        <v>494</v>
      </c>
      <c r="G72">
        <v>5.9480000000000004</v>
      </c>
      <c r="H72" t="s">
        <v>423</v>
      </c>
    </row>
    <row r="73" spans="1:8" hidden="1" x14ac:dyDescent="0.3">
      <c r="A73">
        <v>65</v>
      </c>
      <c r="B73" t="s">
        <v>199</v>
      </c>
      <c r="C73">
        <v>6459.3439999999991</v>
      </c>
      <c r="F73" t="s">
        <v>495</v>
      </c>
      <c r="G73">
        <v>16.574200000000001</v>
      </c>
      <c r="H73" t="s">
        <v>423</v>
      </c>
    </row>
    <row r="74" spans="1:8" hidden="1" x14ac:dyDescent="0.3">
      <c r="A74">
        <v>66</v>
      </c>
      <c r="B74" t="s">
        <v>200</v>
      </c>
      <c r="C74">
        <v>6442.2540000000008</v>
      </c>
      <c r="F74" t="s">
        <v>496</v>
      </c>
      <c r="G74">
        <v>30.044</v>
      </c>
      <c r="H74" t="s">
        <v>423</v>
      </c>
    </row>
    <row r="75" spans="1:8" hidden="1" x14ac:dyDescent="0.3">
      <c r="A75">
        <v>67</v>
      </c>
      <c r="B75" t="s">
        <v>201</v>
      </c>
      <c r="C75">
        <v>6410.9959999999992</v>
      </c>
      <c r="F75" t="s">
        <v>497</v>
      </c>
      <c r="G75">
        <v>13.182600000000001</v>
      </c>
      <c r="H75" t="s">
        <v>423</v>
      </c>
    </row>
    <row r="76" spans="1:8" hidden="1" x14ac:dyDescent="0.3">
      <c r="A76">
        <v>68</v>
      </c>
      <c r="B76" t="s">
        <v>202</v>
      </c>
      <c r="C76">
        <v>6366.3919999999989</v>
      </c>
      <c r="F76" t="s">
        <v>498</v>
      </c>
      <c r="G76">
        <v>-13.906499999999999</v>
      </c>
      <c r="H76" t="s">
        <v>423</v>
      </c>
    </row>
    <row r="77" spans="1:8" hidden="1" x14ac:dyDescent="0.3">
      <c r="A77">
        <v>69</v>
      </c>
      <c r="B77" t="s">
        <v>203</v>
      </c>
      <c r="C77">
        <v>6345.1030000000001</v>
      </c>
      <c r="F77" t="s">
        <v>499</v>
      </c>
      <c r="G77">
        <v>18.412499999999991</v>
      </c>
      <c r="H77" t="s">
        <v>423</v>
      </c>
    </row>
    <row r="78" spans="1:8" hidden="1" x14ac:dyDescent="0.3">
      <c r="A78">
        <v>70</v>
      </c>
      <c r="B78" t="s">
        <v>204</v>
      </c>
      <c r="C78">
        <v>6339.5576000000001</v>
      </c>
      <c r="F78" t="s">
        <v>500</v>
      </c>
      <c r="G78">
        <v>34.8996</v>
      </c>
      <c r="H78" t="s">
        <v>423</v>
      </c>
    </row>
    <row r="79" spans="1:8" hidden="1" x14ac:dyDescent="0.3">
      <c r="A79">
        <v>71</v>
      </c>
      <c r="B79" t="s">
        <v>205</v>
      </c>
      <c r="C79">
        <v>6320.7460000000001</v>
      </c>
      <c r="F79" t="s">
        <v>501</v>
      </c>
      <c r="G79">
        <v>8.6700000000000017</v>
      </c>
      <c r="H79" t="s">
        <v>423</v>
      </c>
    </row>
    <row r="80" spans="1:8" hidden="1" x14ac:dyDescent="0.3">
      <c r="A80">
        <v>72</v>
      </c>
      <c r="B80" t="s">
        <v>206</v>
      </c>
      <c r="C80">
        <v>6255.3510000000006</v>
      </c>
      <c r="F80" t="s">
        <v>502</v>
      </c>
      <c r="G80">
        <v>-7.807500000000001</v>
      </c>
      <c r="H80" t="s">
        <v>423</v>
      </c>
    </row>
    <row r="81" spans="1:8" hidden="1" x14ac:dyDescent="0.3">
      <c r="A81">
        <v>73</v>
      </c>
      <c r="B81" t="s">
        <v>207</v>
      </c>
      <c r="C81">
        <v>6234.9099999999989</v>
      </c>
      <c r="F81" t="s">
        <v>503</v>
      </c>
      <c r="G81">
        <v>81.545200000000008</v>
      </c>
      <c r="H81" t="s">
        <v>423</v>
      </c>
    </row>
    <row r="82" spans="1:8" hidden="1" x14ac:dyDescent="0.3">
      <c r="A82">
        <v>74</v>
      </c>
      <c r="B82" t="s">
        <v>208</v>
      </c>
      <c r="C82">
        <v>6160.1019999999999</v>
      </c>
      <c r="F82" t="s">
        <v>504</v>
      </c>
      <c r="G82">
        <v>-7.0415999999999963</v>
      </c>
      <c r="H82" t="s">
        <v>423</v>
      </c>
    </row>
    <row r="83" spans="1:8" hidden="1" x14ac:dyDescent="0.3">
      <c r="A83">
        <v>75</v>
      </c>
      <c r="B83" t="s">
        <v>209</v>
      </c>
      <c r="C83">
        <v>6134.0379999999996</v>
      </c>
      <c r="F83" t="s">
        <v>505</v>
      </c>
      <c r="G83">
        <v>105.485</v>
      </c>
      <c r="H83" t="s">
        <v>427</v>
      </c>
    </row>
    <row r="84" spans="1:8" hidden="1" x14ac:dyDescent="0.3">
      <c r="A84">
        <v>76</v>
      </c>
      <c r="B84" t="s">
        <v>210</v>
      </c>
      <c r="C84">
        <v>6121.1139999999996</v>
      </c>
      <c r="F84" t="s">
        <v>506</v>
      </c>
      <c r="G84">
        <v>-4.8928000000000003</v>
      </c>
      <c r="H84" t="s">
        <v>423</v>
      </c>
    </row>
    <row r="85" spans="1:8" hidden="1" x14ac:dyDescent="0.3">
      <c r="A85">
        <v>77</v>
      </c>
      <c r="B85" t="s">
        <v>211</v>
      </c>
      <c r="C85">
        <v>6108.3379999999997</v>
      </c>
      <c r="F85" t="s">
        <v>507</v>
      </c>
      <c r="G85">
        <v>16.2864</v>
      </c>
      <c r="H85" t="s">
        <v>423</v>
      </c>
    </row>
    <row r="86" spans="1:8" hidden="1" x14ac:dyDescent="0.3">
      <c r="A86">
        <v>78</v>
      </c>
      <c r="B86" t="s">
        <v>212</v>
      </c>
      <c r="C86">
        <v>6106.8799999999992</v>
      </c>
      <c r="F86" t="s">
        <v>508</v>
      </c>
      <c r="G86">
        <v>-19.821999999999999</v>
      </c>
      <c r="H86" t="s">
        <v>423</v>
      </c>
    </row>
    <row r="87" spans="1:8" hidden="1" x14ac:dyDescent="0.3">
      <c r="A87">
        <v>79</v>
      </c>
      <c r="B87" t="s">
        <v>213</v>
      </c>
      <c r="C87">
        <v>6076.1389999999992</v>
      </c>
      <c r="F87" t="s">
        <v>509</v>
      </c>
      <c r="G87">
        <v>129.72200000000001</v>
      </c>
      <c r="H87" t="s">
        <v>427</v>
      </c>
    </row>
    <row r="88" spans="1:8" hidden="1" x14ac:dyDescent="0.3">
      <c r="A88">
        <v>80</v>
      </c>
      <c r="B88" t="s">
        <v>214</v>
      </c>
      <c r="C88">
        <v>6049.9660000000022</v>
      </c>
      <c r="F88" t="s">
        <v>510</v>
      </c>
      <c r="G88">
        <v>72.223799999999983</v>
      </c>
      <c r="H88" t="s">
        <v>423</v>
      </c>
    </row>
    <row r="89" spans="1:8" hidden="1" x14ac:dyDescent="0.3">
      <c r="A89">
        <v>81</v>
      </c>
      <c r="B89" t="s">
        <v>215</v>
      </c>
      <c r="C89">
        <v>5992.5359999999991</v>
      </c>
      <c r="F89" t="s">
        <v>511</v>
      </c>
      <c r="G89">
        <v>10.191599999999999</v>
      </c>
      <c r="H89" t="s">
        <v>423</v>
      </c>
    </row>
    <row r="90" spans="1:8" hidden="1" x14ac:dyDescent="0.3">
      <c r="A90">
        <v>82</v>
      </c>
      <c r="B90" t="s">
        <v>216</v>
      </c>
      <c r="C90">
        <v>5990.7989999999991</v>
      </c>
      <c r="F90" t="s">
        <v>512</v>
      </c>
      <c r="G90">
        <v>24.008400000000002</v>
      </c>
      <c r="H90" t="s">
        <v>423</v>
      </c>
    </row>
    <row r="91" spans="1:8" hidden="1" x14ac:dyDescent="0.3">
      <c r="A91">
        <v>83</v>
      </c>
      <c r="B91" t="s">
        <v>217</v>
      </c>
      <c r="C91">
        <v>5979.0959999999995</v>
      </c>
      <c r="F91" t="s">
        <v>513</v>
      </c>
      <c r="G91">
        <v>21.0168</v>
      </c>
      <c r="H91" t="s">
        <v>423</v>
      </c>
    </row>
    <row r="92" spans="1:8" hidden="1" x14ac:dyDescent="0.3">
      <c r="A92">
        <v>84</v>
      </c>
      <c r="B92" t="s">
        <v>218</v>
      </c>
      <c r="C92">
        <v>5952.8590000000022</v>
      </c>
      <c r="F92" t="s">
        <v>514</v>
      </c>
      <c r="G92">
        <v>67.776799999999994</v>
      </c>
      <c r="H92" t="s">
        <v>423</v>
      </c>
    </row>
    <row r="93" spans="1:8" hidden="1" x14ac:dyDescent="0.3">
      <c r="A93">
        <v>85</v>
      </c>
      <c r="B93" t="s">
        <v>219</v>
      </c>
      <c r="C93">
        <v>5907.9719999999998</v>
      </c>
      <c r="F93" t="s">
        <v>515</v>
      </c>
      <c r="G93">
        <v>49.864100000000001</v>
      </c>
      <c r="H93" t="s">
        <v>423</v>
      </c>
    </row>
    <row r="94" spans="1:8" hidden="1" x14ac:dyDescent="0.3">
      <c r="A94">
        <v>86</v>
      </c>
      <c r="B94" t="s">
        <v>220</v>
      </c>
      <c r="C94">
        <v>5888.2750000000005</v>
      </c>
      <c r="F94" t="s">
        <v>516</v>
      </c>
      <c r="G94">
        <v>103.416</v>
      </c>
      <c r="H94" t="s">
        <v>427</v>
      </c>
    </row>
    <row r="95" spans="1:8" hidden="1" x14ac:dyDescent="0.3">
      <c r="A95">
        <v>87</v>
      </c>
      <c r="B95" t="s">
        <v>221</v>
      </c>
      <c r="C95">
        <v>5718.5210000000006</v>
      </c>
      <c r="F95" t="s">
        <v>517</v>
      </c>
      <c r="G95">
        <v>11.1744</v>
      </c>
      <c r="H95" t="s">
        <v>423</v>
      </c>
    </row>
    <row r="96" spans="1:8" hidden="1" x14ac:dyDescent="0.3">
      <c r="A96">
        <v>88</v>
      </c>
      <c r="B96" t="s">
        <v>222</v>
      </c>
      <c r="C96">
        <v>5690.0549999999994</v>
      </c>
      <c r="F96" t="s">
        <v>518</v>
      </c>
      <c r="G96">
        <v>7.4619999999999997</v>
      </c>
      <c r="H96" t="s">
        <v>423</v>
      </c>
    </row>
    <row r="97" spans="1:8" hidden="1" x14ac:dyDescent="0.3">
      <c r="A97">
        <v>89</v>
      </c>
      <c r="B97" t="s">
        <v>223</v>
      </c>
      <c r="C97">
        <v>5664.0219999999999</v>
      </c>
      <c r="F97" t="s">
        <v>519</v>
      </c>
      <c r="G97">
        <v>26.2242</v>
      </c>
      <c r="H97" t="s">
        <v>423</v>
      </c>
    </row>
    <row r="98" spans="1:8" hidden="1" x14ac:dyDescent="0.3">
      <c r="A98">
        <v>90</v>
      </c>
      <c r="B98" t="s">
        <v>224</v>
      </c>
      <c r="C98">
        <v>5633.3159999999989</v>
      </c>
      <c r="F98" t="s">
        <v>520</v>
      </c>
      <c r="G98">
        <v>26.3552</v>
      </c>
      <c r="H98" t="s">
        <v>423</v>
      </c>
    </row>
    <row r="99" spans="1:8" hidden="1" x14ac:dyDescent="0.3">
      <c r="A99">
        <v>91</v>
      </c>
      <c r="B99" t="s">
        <v>225</v>
      </c>
      <c r="C99">
        <v>5620.1859999999997</v>
      </c>
      <c r="F99" t="s">
        <v>521</v>
      </c>
      <c r="G99">
        <v>-3.4935999999999998</v>
      </c>
      <c r="H99" t="s">
        <v>423</v>
      </c>
    </row>
    <row r="100" spans="1:8" hidden="1" x14ac:dyDescent="0.3">
      <c r="A100">
        <v>92</v>
      </c>
      <c r="B100" t="s">
        <v>226</v>
      </c>
      <c r="C100">
        <v>5563.56</v>
      </c>
      <c r="F100" t="s">
        <v>522</v>
      </c>
      <c r="G100">
        <v>-1.7490000000000001</v>
      </c>
      <c r="H100" t="s">
        <v>423</v>
      </c>
    </row>
    <row r="101" spans="1:8" hidden="1" x14ac:dyDescent="0.3">
      <c r="A101">
        <v>93</v>
      </c>
      <c r="B101" t="s">
        <v>227</v>
      </c>
      <c r="C101">
        <v>5563.3919999999998</v>
      </c>
      <c r="F101" t="s">
        <v>523</v>
      </c>
      <c r="G101">
        <v>33.129800000000003</v>
      </c>
      <c r="H101" t="s">
        <v>423</v>
      </c>
    </row>
    <row r="102" spans="1:8" hidden="1" x14ac:dyDescent="0.3">
      <c r="A102">
        <v>94</v>
      </c>
      <c r="B102" t="s">
        <v>228</v>
      </c>
      <c r="C102">
        <v>5529.62</v>
      </c>
      <c r="F102" t="s">
        <v>524</v>
      </c>
      <c r="G102">
        <v>12.431699999999999</v>
      </c>
      <c r="H102" t="s">
        <v>423</v>
      </c>
    </row>
    <row r="103" spans="1:8" hidden="1" x14ac:dyDescent="0.3">
      <c r="A103">
        <v>95</v>
      </c>
      <c r="B103" t="s">
        <v>229</v>
      </c>
      <c r="C103">
        <v>5527.8459999999995</v>
      </c>
      <c r="F103" t="s">
        <v>525</v>
      </c>
      <c r="G103">
        <v>37.026000000000003</v>
      </c>
      <c r="H103" t="s">
        <v>423</v>
      </c>
    </row>
    <row r="104" spans="1:8" hidden="1" x14ac:dyDescent="0.3">
      <c r="A104">
        <v>96</v>
      </c>
      <c r="B104" t="s">
        <v>230</v>
      </c>
      <c r="C104">
        <v>5503.0929999999989</v>
      </c>
      <c r="F104" t="s">
        <v>526</v>
      </c>
      <c r="G104">
        <v>20.23</v>
      </c>
      <c r="H104" t="s">
        <v>423</v>
      </c>
    </row>
    <row r="105" spans="1:8" hidden="1" x14ac:dyDescent="0.3">
      <c r="A105">
        <v>97</v>
      </c>
      <c r="B105" t="s">
        <v>231</v>
      </c>
      <c r="C105">
        <v>5480.7239999999993</v>
      </c>
      <c r="F105" t="s">
        <v>527</v>
      </c>
      <c r="G105">
        <v>20.440000000000001</v>
      </c>
      <c r="H105" t="s">
        <v>423</v>
      </c>
    </row>
    <row r="106" spans="1:8" hidden="1" x14ac:dyDescent="0.3">
      <c r="A106">
        <v>98</v>
      </c>
      <c r="B106" t="s">
        <v>232</v>
      </c>
      <c r="C106">
        <v>5478.0608000000002</v>
      </c>
      <c r="F106" t="s">
        <v>528</v>
      </c>
      <c r="G106">
        <v>32.734200000000001</v>
      </c>
      <c r="H106" t="s">
        <v>423</v>
      </c>
    </row>
    <row r="107" spans="1:8" hidden="1" x14ac:dyDescent="0.3">
      <c r="A107">
        <v>99</v>
      </c>
      <c r="B107" t="s">
        <v>233</v>
      </c>
      <c r="C107">
        <v>5454.35</v>
      </c>
      <c r="F107" t="s">
        <v>529</v>
      </c>
      <c r="G107">
        <v>31.4</v>
      </c>
      <c r="H107" t="s">
        <v>423</v>
      </c>
    </row>
    <row r="108" spans="1:8" hidden="1" x14ac:dyDescent="0.3">
      <c r="A108">
        <v>100</v>
      </c>
      <c r="B108" t="s">
        <v>234</v>
      </c>
      <c r="C108">
        <v>5440.3190000000004</v>
      </c>
      <c r="F108" t="s">
        <v>530</v>
      </c>
      <c r="G108">
        <v>104.4384</v>
      </c>
      <c r="H108" t="s">
        <v>427</v>
      </c>
    </row>
    <row r="109" spans="1:8" hidden="1" x14ac:dyDescent="0.3">
      <c r="A109">
        <f>ROW()-8</f>
        <v>101</v>
      </c>
      <c r="B109" t="s">
        <v>235</v>
      </c>
      <c r="C109">
        <v>5420.5139999999992</v>
      </c>
      <c r="F109" t="s">
        <v>531</v>
      </c>
      <c r="G109">
        <v>43.136400000000002</v>
      </c>
      <c r="H109" t="s">
        <v>423</v>
      </c>
    </row>
    <row r="110" spans="1:8" hidden="1" x14ac:dyDescent="0.3">
      <c r="A110">
        <f t="shared" ref="A110:A173" si="0">ROW()-8</f>
        <v>102</v>
      </c>
      <c r="B110" t="s">
        <v>236</v>
      </c>
      <c r="C110">
        <v>5402.253999999999</v>
      </c>
      <c r="F110" t="s">
        <v>532</v>
      </c>
      <c r="G110">
        <v>72.703999999999994</v>
      </c>
      <c r="H110" t="s">
        <v>423</v>
      </c>
    </row>
    <row r="111" spans="1:8" hidden="1" x14ac:dyDescent="0.3">
      <c r="A111">
        <f t="shared" si="0"/>
        <v>103</v>
      </c>
      <c r="B111" t="s">
        <v>237</v>
      </c>
      <c r="C111">
        <v>5371.09</v>
      </c>
      <c r="F111" t="s">
        <v>533</v>
      </c>
      <c r="G111">
        <v>60.916800000000002</v>
      </c>
      <c r="H111" t="s">
        <v>423</v>
      </c>
    </row>
    <row r="112" spans="1:8" hidden="1" x14ac:dyDescent="0.3">
      <c r="A112">
        <f t="shared" si="0"/>
        <v>104</v>
      </c>
      <c r="B112" t="s">
        <v>238</v>
      </c>
      <c r="C112">
        <v>5364.8080000000009</v>
      </c>
      <c r="F112" t="s">
        <v>534</v>
      </c>
      <c r="G112">
        <v>111.72</v>
      </c>
      <c r="H112" t="s">
        <v>427</v>
      </c>
    </row>
    <row r="113" spans="1:8" hidden="1" x14ac:dyDescent="0.3">
      <c r="A113">
        <f t="shared" si="0"/>
        <v>105</v>
      </c>
      <c r="B113" t="s">
        <v>239</v>
      </c>
      <c r="C113">
        <v>5341.9</v>
      </c>
      <c r="F113" t="s">
        <v>535</v>
      </c>
      <c r="G113">
        <v>32.917999999999999</v>
      </c>
      <c r="H113" t="s">
        <v>423</v>
      </c>
    </row>
    <row r="114" spans="1:8" hidden="1" x14ac:dyDescent="0.3">
      <c r="A114">
        <f t="shared" si="0"/>
        <v>106</v>
      </c>
      <c r="B114" t="s">
        <v>240</v>
      </c>
      <c r="C114">
        <v>5329.0047999999997</v>
      </c>
      <c r="F114" t="s">
        <v>536</v>
      </c>
      <c r="G114">
        <v>16.3584</v>
      </c>
      <c r="H114" t="s">
        <v>423</v>
      </c>
    </row>
    <row r="115" spans="1:8" hidden="1" x14ac:dyDescent="0.3">
      <c r="A115">
        <f t="shared" si="0"/>
        <v>107</v>
      </c>
      <c r="B115" t="s">
        <v>241</v>
      </c>
      <c r="C115">
        <v>5278.8259999999991</v>
      </c>
      <c r="F115" t="s">
        <v>537</v>
      </c>
      <c r="G115">
        <v>1932.549</v>
      </c>
      <c r="H115" t="s">
        <v>433</v>
      </c>
    </row>
    <row r="116" spans="1:8" hidden="1" x14ac:dyDescent="0.3">
      <c r="A116">
        <f t="shared" si="0"/>
        <v>108</v>
      </c>
      <c r="B116" t="s">
        <v>242</v>
      </c>
      <c r="C116">
        <v>5271.6279999999997</v>
      </c>
      <c r="F116" t="s">
        <v>538</v>
      </c>
      <c r="G116">
        <v>53.398400000000002</v>
      </c>
      <c r="H116" t="s">
        <v>423</v>
      </c>
    </row>
    <row r="117" spans="1:8" hidden="1" x14ac:dyDescent="0.3">
      <c r="A117">
        <f t="shared" si="0"/>
        <v>109</v>
      </c>
      <c r="B117" t="s">
        <v>243</v>
      </c>
      <c r="C117">
        <v>5253.8760000000002</v>
      </c>
      <c r="F117" t="s">
        <v>539</v>
      </c>
      <c r="G117">
        <v>312.45519999999999</v>
      </c>
      <c r="H117" t="s">
        <v>427</v>
      </c>
    </row>
    <row r="118" spans="1:8" hidden="1" x14ac:dyDescent="0.3">
      <c r="A118">
        <f t="shared" si="0"/>
        <v>110</v>
      </c>
      <c r="B118" t="s">
        <v>244</v>
      </c>
      <c r="C118">
        <v>5248.7869999999994</v>
      </c>
      <c r="F118" t="s">
        <v>540</v>
      </c>
      <c r="G118">
        <v>277.28640000000001</v>
      </c>
      <c r="H118" t="s">
        <v>427</v>
      </c>
    </row>
    <row r="119" spans="1:8" hidden="1" x14ac:dyDescent="0.3">
      <c r="A119">
        <f t="shared" si="0"/>
        <v>111</v>
      </c>
      <c r="B119" t="s">
        <v>245</v>
      </c>
      <c r="C119">
        <v>5226.2099999999982</v>
      </c>
      <c r="F119" t="s">
        <v>541</v>
      </c>
      <c r="G119">
        <v>311.77440000000001</v>
      </c>
      <c r="H119" t="s">
        <v>427</v>
      </c>
    </row>
    <row r="120" spans="1:8" hidden="1" x14ac:dyDescent="0.3">
      <c r="A120">
        <f t="shared" si="0"/>
        <v>112</v>
      </c>
      <c r="B120" t="s">
        <v>246</v>
      </c>
      <c r="C120">
        <v>5153.0839999999998</v>
      </c>
      <c r="F120" t="s">
        <v>542</v>
      </c>
      <c r="G120">
        <v>20.54</v>
      </c>
      <c r="H120" t="s">
        <v>423</v>
      </c>
    </row>
    <row r="121" spans="1:8" hidden="1" x14ac:dyDescent="0.3">
      <c r="A121">
        <f t="shared" si="0"/>
        <v>113</v>
      </c>
      <c r="B121" t="s">
        <v>247</v>
      </c>
      <c r="C121">
        <v>5142.8919999999989</v>
      </c>
      <c r="F121" t="s">
        <v>543</v>
      </c>
      <c r="G121">
        <v>94.320000000000007</v>
      </c>
      <c r="H121" t="s">
        <v>423</v>
      </c>
    </row>
    <row r="122" spans="1:8" hidden="1" x14ac:dyDescent="0.3">
      <c r="A122">
        <f t="shared" si="0"/>
        <v>114</v>
      </c>
      <c r="B122" t="s">
        <v>248</v>
      </c>
      <c r="C122">
        <v>5087.92</v>
      </c>
      <c r="F122" t="s">
        <v>544</v>
      </c>
      <c r="G122">
        <v>25.161999999999999</v>
      </c>
      <c r="H122" t="s">
        <v>423</v>
      </c>
    </row>
    <row r="123" spans="1:8" hidden="1" x14ac:dyDescent="0.3">
      <c r="A123">
        <f t="shared" si="0"/>
        <v>115</v>
      </c>
      <c r="B123" t="s">
        <v>249</v>
      </c>
      <c r="C123">
        <v>5086.9350000000013</v>
      </c>
      <c r="F123" t="s">
        <v>545</v>
      </c>
      <c r="G123">
        <v>108.092</v>
      </c>
      <c r="H123" t="s">
        <v>427</v>
      </c>
    </row>
    <row r="124" spans="1:8" hidden="1" x14ac:dyDescent="0.3">
      <c r="A124">
        <f t="shared" si="0"/>
        <v>116</v>
      </c>
      <c r="B124" t="s">
        <v>250</v>
      </c>
      <c r="C124">
        <v>5040.7359999999999</v>
      </c>
      <c r="F124" t="s">
        <v>546</v>
      </c>
      <c r="G124">
        <v>102.8</v>
      </c>
      <c r="H124" t="s">
        <v>427</v>
      </c>
    </row>
    <row r="125" spans="1:8" hidden="1" x14ac:dyDescent="0.3">
      <c r="A125">
        <f t="shared" si="0"/>
        <v>117</v>
      </c>
      <c r="B125" t="s">
        <v>251</v>
      </c>
      <c r="C125">
        <v>5016.4880000000012</v>
      </c>
      <c r="F125" t="s">
        <v>547</v>
      </c>
      <c r="G125">
        <v>20.208600000000001</v>
      </c>
      <c r="H125" t="s">
        <v>423</v>
      </c>
    </row>
    <row r="126" spans="1:8" hidden="1" x14ac:dyDescent="0.3">
      <c r="A126">
        <f t="shared" si="0"/>
        <v>118</v>
      </c>
      <c r="B126" t="s">
        <v>56</v>
      </c>
      <c r="C126">
        <v>4985.6760000000004</v>
      </c>
      <c r="F126" t="s">
        <v>548</v>
      </c>
      <c r="G126">
        <v>43.226399999999998</v>
      </c>
      <c r="H126" t="s">
        <v>423</v>
      </c>
    </row>
    <row r="127" spans="1:8" hidden="1" x14ac:dyDescent="0.3">
      <c r="A127">
        <f t="shared" si="0"/>
        <v>119</v>
      </c>
      <c r="B127" t="s">
        <v>252</v>
      </c>
      <c r="C127">
        <v>4932.8719999999994</v>
      </c>
      <c r="F127" t="s">
        <v>549</v>
      </c>
      <c r="G127">
        <v>233.18879999999999</v>
      </c>
      <c r="H127" t="s">
        <v>427</v>
      </c>
    </row>
    <row r="128" spans="1:8" hidden="1" x14ac:dyDescent="0.3">
      <c r="A128">
        <f t="shared" si="0"/>
        <v>120</v>
      </c>
      <c r="B128" t="s">
        <v>253</v>
      </c>
      <c r="C128">
        <v>4930.4739999999993</v>
      </c>
      <c r="F128" t="s">
        <v>550</v>
      </c>
      <c r="G128">
        <v>90.723499999999973</v>
      </c>
      <c r="H128" t="s">
        <v>423</v>
      </c>
    </row>
    <row r="129" spans="1:8" hidden="1" x14ac:dyDescent="0.3">
      <c r="A129">
        <f t="shared" si="0"/>
        <v>121</v>
      </c>
      <c r="B129" t="s">
        <v>254</v>
      </c>
      <c r="C129">
        <v>4915.6019999999999</v>
      </c>
      <c r="F129" t="s">
        <v>551</v>
      </c>
      <c r="G129">
        <v>19.777999999999999</v>
      </c>
      <c r="H129" t="s">
        <v>423</v>
      </c>
    </row>
    <row r="130" spans="1:8" hidden="1" x14ac:dyDescent="0.3">
      <c r="A130">
        <f t="shared" si="0"/>
        <v>122</v>
      </c>
      <c r="B130" t="s">
        <v>255</v>
      </c>
      <c r="C130">
        <v>4909.4720000000007</v>
      </c>
      <c r="F130" t="s">
        <v>552</v>
      </c>
      <c r="G130">
        <v>20.0244</v>
      </c>
      <c r="H130" t="s">
        <v>423</v>
      </c>
    </row>
    <row r="131" spans="1:8" hidden="1" x14ac:dyDescent="0.3">
      <c r="A131">
        <f t="shared" si="0"/>
        <v>123</v>
      </c>
      <c r="B131" t="s">
        <v>256</v>
      </c>
      <c r="C131">
        <v>4893.0430000000006</v>
      </c>
      <c r="F131" t="s">
        <v>553</v>
      </c>
      <c r="G131">
        <v>514.49090000000001</v>
      </c>
      <c r="H131" t="s">
        <v>433</v>
      </c>
    </row>
    <row r="132" spans="1:8" hidden="1" x14ac:dyDescent="0.3">
      <c r="A132">
        <f t="shared" si="0"/>
        <v>124</v>
      </c>
      <c r="B132" t="s">
        <v>257</v>
      </c>
      <c r="C132">
        <v>4877.7839999999997</v>
      </c>
      <c r="F132" t="s">
        <v>554</v>
      </c>
      <c r="G132">
        <v>-6.9432</v>
      </c>
      <c r="H132" t="s">
        <v>423</v>
      </c>
    </row>
    <row r="133" spans="1:8" hidden="1" x14ac:dyDescent="0.3">
      <c r="A133">
        <f t="shared" si="0"/>
        <v>125</v>
      </c>
      <c r="B133" t="s">
        <v>258</v>
      </c>
      <c r="C133">
        <v>4867.3440000000001</v>
      </c>
      <c r="F133" t="s">
        <v>555</v>
      </c>
      <c r="G133">
        <v>21.548100000000002</v>
      </c>
      <c r="H133" t="s">
        <v>423</v>
      </c>
    </row>
    <row r="134" spans="1:8" hidden="1" x14ac:dyDescent="0.3">
      <c r="A134">
        <f t="shared" si="0"/>
        <v>126</v>
      </c>
      <c r="B134" t="s">
        <v>259</v>
      </c>
      <c r="C134">
        <v>4867.2000000000007</v>
      </c>
      <c r="F134" t="s">
        <v>556</v>
      </c>
      <c r="G134">
        <v>0</v>
      </c>
      <c r="H134" t="s">
        <v>423</v>
      </c>
    </row>
    <row r="135" spans="1:8" hidden="1" x14ac:dyDescent="0.3">
      <c r="A135">
        <f t="shared" si="0"/>
        <v>127</v>
      </c>
      <c r="B135" t="s">
        <v>260</v>
      </c>
      <c r="C135">
        <v>4805.3440000000001</v>
      </c>
      <c r="F135" t="s">
        <v>557</v>
      </c>
      <c r="G135">
        <v>0.53760000000000008</v>
      </c>
      <c r="H135" t="s">
        <v>423</v>
      </c>
    </row>
    <row r="136" spans="1:8" hidden="1" x14ac:dyDescent="0.3">
      <c r="A136">
        <f t="shared" si="0"/>
        <v>128</v>
      </c>
      <c r="B136" t="s">
        <v>261</v>
      </c>
      <c r="C136">
        <v>4802.3939999999993</v>
      </c>
      <c r="F136" t="s">
        <v>558</v>
      </c>
      <c r="G136">
        <v>-10.3474</v>
      </c>
      <c r="H136" t="s">
        <v>423</v>
      </c>
    </row>
    <row r="137" spans="1:8" hidden="1" x14ac:dyDescent="0.3">
      <c r="A137">
        <f t="shared" si="0"/>
        <v>129</v>
      </c>
      <c r="B137" t="s">
        <v>262</v>
      </c>
      <c r="C137">
        <v>4793.5430000000006</v>
      </c>
      <c r="F137" t="s">
        <v>559</v>
      </c>
      <c r="G137">
        <v>244.2</v>
      </c>
      <c r="H137" t="s">
        <v>427</v>
      </c>
    </row>
    <row r="138" spans="1:8" hidden="1" x14ac:dyDescent="0.3">
      <c r="A138">
        <f t="shared" si="0"/>
        <v>130</v>
      </c>
      <c r="B138" t="s">
        <v>263</v>
      </c>
      <c r="C138">
        <v>4767.3415000000005</v>
      </c>
      <c r="F138" t="s">
        <v>560</v>
      </c>
      <c r="G138">
        <v>56.212000000000003</v>
      </c>
      <c r="H138" t="s">
        <v>423</v>
      </c>
    </row>
    <row r="139" spans="1:8" hidden="1" x14ac:dyDescent="0.3">
      <c r="A139">
        <f t="shared" si="0"/>
        <v>131</v>
      </c>
      <c r="B139" t="s">
        <v>264</v>
      </c>
      <c r="C139">
        <v>4760.4340000000011</v>
      </c>
      <c r="F139" t="s">
        <v>561</v>
      </c>
      <c r="G139">
        <v>41.201999999999991</v>
      </c>
      <c r="H139" t="s">
        <v>423</v>
      </c>
    </row>
    <row r="140" spans="1:8" hidden="1" x14ac:dyDescent="0.3">
      <c r="A140">
        <f t="shared" si="0"/>
        <v>132</v>
      </c>
      <c r="B140" t="s">
        <v>265</v>
      </c>
      <c r="C140">
        <v>4750.3579999999993</v>
      </c>
      <c r="F140" t="s">
        <v>562</v>
      </c>
      <c r="G140">
        <v>32.293799999999997</v>
      </c>
      <c r="H140" t="s">
        <v>423</v>
      </c>
    </row>
    <row r="141" spans="1:8" hidden="1" x14ac:dyDescent="0.3">
      <c r="A141">
        <f t="shared" si="0"/>
        <v>133</v>
      </c>
      <c r="B141" t="s">
        <v>266</v>
      </c>
      <c r="C141">
        <v>4737.4859999999999</v>
      </c>
      <c r="F141" t="s">
        <v>563</v>
      </c>
      <c r="G141">
        <v>14.1897</v>
      </c>
      <c r="H141" t="s">
        <v>423</v>
      </c>
    </row>
    <row r="142" spans="1:8" hidden="1" x14ac:dyDescent="0.3">
      <c r="A142">
        <f t="shared" si="0"/>
        <v>134</v>
      </c>
      <c r="B142" t="s">
        <v>267</v>
      </c>
      <c r="C142">
        <v>4716.2879999999996</v>
      </c>
      <c r="F142" t="s">
        <v>564</v>
      </c>
      <c r="G142">
        <v>559.30680000000007</v>
      </c>
      <c r="H142" t="s">
        <v>433</v>
      </c>
    </row>
    <row r="143" spans="1:8" hidden="1" x14ac:dyDescent="0.3">
      <c r="A143">
        <f t="shared" si="0"/>
        <v>135</v>
      </c>
      <c r="B143" t="s">
        <v>268</v>
      </c>
      <c r="C143">
        <v>4715.4660000000013</v>
      </c>
      <c r="F143" t="s">
        <v>565</v>
      </c>
      <c r="G143">
        <v>25.8048</v>
      </c>
      <c r="H143" t="s">
        <v>423</v>
      </c>
    </row>
    <row r="144" spans="1:8" hidden="1" x14ac:dyDescent="0.3">
      <c r="A144">
        <f t="shared" si="0"/>
        <v>136</v>
      </c>
      <c r="B144" t="s">
        <v>269</v>
      </c>
      <c r="C144">
        <v>4657.924</v>
      </c>
      <c r="F144" t="s">
        <v>566</v>
      </c>
      <c r="G144">
        <v>11.292400000000001</v>
      </c>
      <c r="H144" t="s">
        <v>423</v>
      </c>
    </row>
    <row r="145" spans="1:8" hidden="1" x14ac:dyDescent="0.3">
      <c r="A145">
        <f t="shared" si="0"/>
        <v>137</v>
      </c>
      <c r="B145" t="s">
        <v>270</v>
      </c>
      <c r="C145">
        <v>4655.8969999999999</v>
      </c>
      <c r="F145" t="s">
        <v>567</v>
      </c>
      <c r="G145">
        <v>47.186999999999998</v>
      </c>
      <c r="H145" t="s">
        <v>423</v>
      </c>
    </row>
    <row r="146" spans="1:8" hidden="1" x14ac:dyDescent="0.3">
      <c r="A146">
        <f t="shared" si="0"/>
        <v>138</v>
      </c>
      <c r="B146" t="s">
        <v>271</v>
      </c>
      <c r="C146">
        <v>4642.0884000000005</v>
      </c>
      <c r="F146" t="s">
        <v>568</v>
      </c>
      <c r="G146">
        <v>56.16</v>
      </c>
      <c r="H146" t="s">
        <v>423</v>
      </c>
    </row>
    <row r="147" spans="1:8" hidden="1" x14ac:dyDescent="0.3">
      <c r="A147">
        <f t="shared" si="0"/>
        <v>139</v>
      </c>
      <c r="B147" t="s">
        <v>272</v>
      </c>
      <c r="C147">
        <v>4624.572000000001</v>
      </c>
      <c r="F147" t="s">
        <v>569</v>
      </c>
      <c r="G147">
        <v>15.663</v>
      </c>
      <c r="H147" t="s">
        <v>423</v>
      </c>
    </row>
    <row r="148" spans="1:8" hidden="1" x14ac:dyDescent="0.3">
      <c r="A148">
        <f t="shared" si="0"/>
        <v>140</v>
      </c>
      <c r="B148" t="s">
        <v>273</v>
      </c>
      <c r="C148">
        <v>4588.4359999999997</v>
      </c>
      <c r="F148" t="s">
        <v>570</v>
      </c>
      <c r="G148">
        <v>-17.514500000000002</v>
      </c>
      <c r="H148" t="s">
        <v>423</v>
      </c>
    </row>
    <row r="149" spans="1:8" hidden="1" x14ac:dyDescent="0.3">
      <c r="A149">
        <f t="shared" si="0"/>
        <v>141</v>
      </c>
      <c r="B149" t="s">
        <v>274</v>
      </c>
      <c r="C149">
        <v>4531.6460000000015</v>
      </c>
      <c r="F149" t="s">
        <v>571</v>
      </c>
      <c r="G149">
        <v>35.332000000000001</v>
      </c>
      <c r="H149" t="s">
        <v>423</v>
      </c>
    </row>
    <row r="150" spans="1:8" hidden="1" x14ac:dyDescent="0.3">
      <c r="A150">
        <f t="shared" si="0"/>
        <v>142</v>
      </c>
      <c r="B150" t="s">
        <v>275</v>
      </c>
      <c r="C150">
        <v>4523.3359999999993</v>
      </c>
      <c r="F150" t="s">
        <v>572</v>
      </c>
      <c r="G150">
        <v>-1.969199999999999</v>
      </c>
      <c r="H150" t="s">
        <v>423</v>
      </c>
    </row>
    <row r="151" spans="1:8" hidden="1" x14ac:dyDescent="0.3">
      <c r="A151">
        <f t="shared" si="0"/>
        <v>143</v>
      </c>
      <c r="B151" t="s">
        <v>276</v>
      </c>
      <c r="C151">
        <v>4510.7969999999996</v>
      </c>
      <c r="F151" t="s">
        <v>573</v>
      </c>
      <c r="G151">
        <v>14.0672</v>
      </c>
      <c r="H151" t="s">
        <v>423</v>
      </c>
    </row>
    <row r="152" spans="1:8" hidden="1" x14ac:dyDescent="0.3">
      <c r="A152">
        <f t="shared" si="0"/>
        <v>144</v>
      </c>
      <c r="B152" t="s">
        <v>277</v>
      </c>
      <c r="C152">
        <v>4501.3909999999996</v>
      </c>
      <c r="F152" t="s">
        <v>574</v>
      </c>
      <c r="G152">
        <v>23.188400000000001</v>
      </c>
      <c r="H152" t="s">
        <v>423</v>
      </c>
    </row>
    <row r="153" spans="1:8" hidden="1" x14ac:dyDescent="0.3">
      <c r="A153">
        <f t="shared" si="0"/>
        <v>145</v>
      </c>
      <c r="B153" t="s">
        <v>278</v>
      </c>
      <c r="C153">
        <v>4492.9459999999999</v>
      </c>
      <c r="F153" t="s">
        <v>575</v>
      </c>
      <c r="G153">
        <v>-23.995200000000001</v>
      </c>
      <c r="H153" t="s">
        <v>423</v>
      </c>
    </row>
    <row r="154" spans="1:8" hidden="1" x14ac:dyDescent="0.3">
      <c r="A154">
        <f t="shared" si="0"/>
        <v>146</v>
      </c>
      <c r="B154" t="s">
        <v>279</v>
      </c>
      <c r="C154">
        <v>4492.6569999999992</v>
      </c>
      <c r="F154" t="s">
        <v>576</v>
      </c>
      <c r="G154">
        <v>-31.984000000000002</v>
      </c>
      <c r="H154" t="s">
        <v>423</v>
      </c>
    </row>
    <row r="155" spans="1:8" hidden="1" x14ac:dyDescent="0.3">
      <c r="A155">
        <f t="shared" si="0"/>
        <v>147</v>
      </c>
      <c r="B155" t="s">
        <v>280</v>
      </c>
      <c r="C155">
        <v>4454.0559999999996</v>
      </c>
      <c r="F155" t="s">
        <v>577</v>
      </c>
      <c r="G155">
        <v>99.55019999999999</v>
      </c>
      <c r="H155" t="s">
        <v>423</v>
      </c>
    </row>
    <row r="156" spans="1:8" hidden="1" x14ac:dyDescent="0.3">
      <c r="A156">
        <f t="shared" si="0"/>
        <v>148</v>
      </c>
      <c r="B156" t="s">
        <v>281</v>
      </c>
      <c r="C156">
        <v>4432.1379999999999</v>
      </c>
      <c r="F156" t="s">
        <v>578</v>
      </c>
      <c r="G156">
        <v>32.988999999999997</v>
      </c>
      <c r="H156" t="s">
        <v>423</v>
      </c>
    </row>
    <row r="157" spans="1:8" hidden="1" x14ac:dyDescent="0.3">
      <c r="A157">
        <f t="shared" si="0"/>
        <v>149</v>
      </c>
      <c r="B157" t="s">
        <v>282</v>
      </c>
      <c r="C157">
        <v>4427.1420000000007</v>
      </c>
      <c r="F157" t="s">
        <v>579</v>
      </c>
      <c r="G157">
        <v>50.381999999999998</v>
      </c>
      <c r="H157" t="s">
        <v>423</v>
      </c>
    </row>
    <row r="158" spans="1:8" hidden="1" x14ac:dyDescent="0.3">
      <c r="A158">
        <f t="shared" si="0"/>
        <v>150</v>
      </c>
      <c r="B158" t="s">
        <v>283</v>
      </c>
      <c r="C158">
        <v>4416.5200000000004</v>
      </c>
      <c r="F158" t="s">
        <v>580</v>
      </c>
      <c r="G158">
        <v>1611.5784000000001</v>
      </c>
      <c r="H158" t="s">
        <v>433</v>
      </c>
    </row>
    <row r="159" spans="1:8" hidden="1" x14ac:dyDescent="0.3">
      <c r="A159">
        <f t="shared" si="0"/>
        <v>151</v>
      </c>
      <c r="B159" t="s">
        <v>284</v>
      </c>
      <c r="C159">
        <v>4411.2430000000004</v>
      </c>
      <c r="F159" t="s">
        <v>581</v>
      </c>
      <c r="G159">
        <v>229.977</v>
      </c>
      <c r="H159" t="s">
        <v>427</v>
      </c>
    </row>
    <row r="160" spans="1:8" hidden="1" x14ac:dyDescent="0.3">
      <c r="A160">
        <f t="shared" si="0"/>
        <v>152</v>
      </c>
      <c r="B160" t="s">
        <v>285</v>
      </c>
      <c r="C160">
        <v>4375.7859999999991</v>
      </c>
      <c r="F160" t="s">
        <v>582</v>
      </c>
      <c r="G160">
        <v>512.99099999999999</v>
      </c>
      <c r="H160" t="s">
        <v>433</v>
      </c>
    </row>
    <row r="161" spans="1:8" hidden="1" x14ac:dyDescent="0.3">
      <c r="A161">
        <f t="shared" si="0"/>
        <v>153</v>
      </c>
      <c r="B161" t="s">
        <v>286</v>
      </c>
      <c r="C161">
        <v>4371.9580000000014</v>
      </c>
      <c r="F161" t="s">
        <v>583</v>
      </c>
      <c r="G161">
        <v>25.848199999999999</v>
      </c>
      <c r="H161" t="s">
        <v>423</v>
      </c>
    </row>
    <row r="162" spans="1:8" hidden="1" x14ac:dyDescent="0.3">
      <c r="A162">
        <f t="shared" si="0"/>
        <v>154</v>
      </c>
      <c r="B162" t="s">
        <v>287</v>
      </c>
      <c r="C162">
        <v>4358.1279999999997</v>
      </c>
      <c r="F162" t="s">
        <v>584</v>
      </c>
      <c r="G162">
        <v>49.503999999999998</v>
      </c>
      <c r="H162" t="s">
        <v>423</v>
      </c>
    </row>
    <row r="163" spans="1:8" hidden="1" x14ac:dyDescent="0.3">
      <c r="A163">
        <f t="shared" si="0"/>
        <v>155</v>
      </c>
      <c r="B163" t="s">
        <v>288</v>
      </c>
      <c r="C163">
        <v>4355.1499999999996</v>
      </c>
      <c r="F163" t="s">
        <v>585</v>
      </c>
      <c r="G163">
        <v>61.152000000000001</v>
      </c>
      <c r="H163" t="s">
        <v>423</v>
      </c>
    </row>
    <row r="164" spans="1:8" hidden="1" x14ac:dyDescent="0.3">
      <c r="A164">
        <f t="shared" si="0"/>
        <v>156</v>
      </c>
      <c r="B164" t="s">
        <v>289</v>
      </c>
      <c r="C164">
        <v>4345.8860000000004</v>
      </c>
      <c r="F164" t="s">
        <v>586</v>
      </c>
      <c r="G164">
        <v>8.9232999999999993</v>
      </c>
      <c r="H164" t="s">
        <v>423</v>
      </c>
    </row>
    <row r="165" spans="1:8" hidden="1" x14ac:dyDescent="0.3">
      <c r="A165">
        <f t="shared" si="0"/>
        <v>157</v>
      </c>
      <c r="B165" t="s">
        <v>290</v>
      </c>
      <c r="C165">
        <v>4326.1390000000001</v>
      </c>
      <c r="F165" t="s">
        <v>587</v>
      </c>
      <c r="G165">
        <v>65.049599999999998</v>
      </c>
      <c r="H165" t="s">
        <v>423</v>
      </c>
    </row>
    <row r="166" spans="1:8" hidden="1" x14ac:dyDescent="0.3">
      <c r="A166">
        <f t="shared" si="0"/>
        <v>158</v>
      </c>
      <c r="B166" t="s">
        <v>54</v>
      </c>
      <c r="C166">
        <v>4299.1609999999991</v>
      </c>
      <c r="F166" t="s">
        <v>588</v>
      </c>
      <c r="G166">
        <v>593.96400000000006</v>
      </c>
      <c r="H166" t="s">
        <v>433</v>
      </c>
    </row>
    <row r="167" spans="1:8" hidden="1" x14ac:dyDescent="0.3">
      <c r="A167">
        <f t="shared" si="0"/>
        <v>159</v>
      </c>
      <c r="B167" t="s">
        <v>291</v>
      </c>
      <c r="C167">
        <v>4282.9399999999996</v>
      </c>
      <c r="F167" t="s">
        <v>589</v>
      </c>
      <c r="G167">
        <v>393.25630000000001</v>
      </c>
      <c r="H167" t="s">
        <v>427</v>
      </c>
    </row>
    <row r="168" spans="1:8" hidden="1" x14ac:dyDescent="0.3">
      <c r="A168">
        <f t="shared" si="0"/>
        <v>160</v>
      </c>
      <c r="B168" t="s">
        <v>292</v>
      </c>
      <c r="C168">
        <v>4282.1759999999986</v>
      </c>
      <c r="F168" t="s">
        <v>590</v>
      </c>
      <c r="G168">
        <v>3772.9461000000001</v>
      </c>
      <c r="H168" t="s">
        <v>433</v>
      </c>
    </row>
    <row r="169" spans="1:8" hidden="1" x14ac:dyDescent="0.3">
      <c r="A169">
        <f t="shared" si="0"/>
        <v>161</v>
      </c>
      <c r="B169" t="s">
        <v>293</v>
      </c>
      <c r="C169">
        <v>4272.93</v>
      </c>
      <c r="F169" t="s">
        <v>591</v>
      </c>
      <c r="G169">
        <v>-113.2606</v>
      </c>
      <c r="H169" t="s">
        <v>423</v>
      </c>
    </row>
    <row r="170" spans="1:8" hidden="1" x14ac:dyDescent="0.3">
      <c r="A170">
        <f t="shared" si="0"/>
        <v>162</v>
      </c>
      <c r="B170" t="s">
        <v>294</v>
      </c>
      <c r="C170">
        <v>4266.8119999999999</v>
      </c>
      <c r="F170" t="s">
        <v>592</v>
      </c>
      <c r="G170">
        <v>780.3302000000001</v>
      </c>
      <c r="H170" t="s">
        <v>433</v>
      </c>
    </row>
    <row r="171" spans="1:8" hidden="1" x14ac:dyDescent="0.3">
      <c r="A171">
        <f t="shared" si="0"/>
        <v>163</v>
      </c>
      <c r="B171" t="s">
        <v>295</v>
      </c>
      <c r="C171">
        <v>4260.7840000000006</v>
      </c>
      <c r="F171" t="s">
        <v>593</v>
      </c>
      <c r="G171">
        <v>-126.441</v>
      </c>
      <c r="H171" t="s">
        <v>423</v>
      </c>
    </row>
    <row r="172" spans="1:8" hidden="1" x14ac:dyDescent="0.3">
      <c r="A172">
        <f t="shared" si="0"/>
        <v>164</v>
      </c>
      <c r="B172" t="s">
        <v>296</v>
      </c>
      <c r="C172">
        <v>4256.2719999999999</v>
      </c>
      <c r="F172" t="s">
        <v>594</v>
      </c>
      <c r="G172">
        <v>15.04900000000001</v>
      </c>
      <c r="H172" t="s">
        <v>423</v>
      </c>
    </row>
    <row r="173" spans="1:8" hidden="1" x14ac:dyDescent="0.3">
      <c r="A173">
        <f t="shared" si="0"/>
        <v>165</v>
      </c>
      <c r="B173" t="s">
        <v>297</v>
      </c>
      <c r="C173">
        <v>4246.4555</v>
      </c>
      <c r="F173" t="s">
        <v>595</v>
      </c>
      <c r="G173">
        <v>476.62560000000008</v>
      </c>
      <c r="H173" t="s">
        <v>427</v>
      </c>
    </row>
    <row r="174" spans="1:8" hidden="1" x14ac:dyDescent="0.3">
      <c r="A174">
        <f t="shared" ref="A174:A237" si="1">ROW()-8</f>
        <v>166</v>
      </c>
      <c r="B174" t="s">
        <v>298</v>
      </c>
      <c r="C174">
        <v>4234.0959999999995</v>
      </c>
      <c r="F174" t="s">
        <v>596</v>
      </c>
      <c r="G174">
        <v>383.67759999999998</v>
      </c>
      <c r="H174" t="s">
        <v>427</v>
      </c>
    </row>
    <row r="175" spans="1:8" hidden="1" x14ac:dyDescent="0.3">
      <c r="A175">
        <f t="shared" si="1"/>
        <v>167</v>
      </c>
      <c r="B175" t="s">
        <v>299</v>
      </c>
      <c r="C175">
        <v>4204.6759999999986</v>
      </c>
      <c r="F175" t="s">
        <v>597</v>
      </c>
      <c r="G175">
        <v>79.866</v>
      </c>
      <c r="H175" t="s">
        <v>423</v>
      </c>
    </row>
    <row r="176" spans="1:8" hidden="1" x14ac:dyDescent="0.3">
      <c r="A176">
        <f t="shared" si="1"/>
        <v>168</v>
      </c>
      <c r="B176" t="s">
        <v>300</v>
      </c>
      <c r="C176">
        <v>4198.3320000000003</v>
      </c>
      <c r="F176" t="s">
        <v>598</v>
      </c>
      <c r="G176">
        <v>-10.878399999999999</v>
      </c>
      <c r="H176" t="s">
        <v>423</v>
      </c>
    </row>
    <row r="177" spans="1:8" hidden="1" x14ac:dyDescent="0.3">
      <c r="A177">
        <f t="shared" si="1"/>
        <v>169</v>
      </c>
      <c r="B177" t="s">
        <v>301</v>
      </c>
      <c r="C177">
        <v>4172.8459999999995</v>
      </c>
      <c r="F177" t="s">
        <v>599</v>
      </c>
      <c r="G177">
        <v>323.976</v>
      </c>
      <c r="H177" t="s">
        <v>427</v>
      </c>
    </row>
    <row r="178" spans="1:8" hidden="1" x14ac:dyDescent="0.3">
      <c r="A178">
        <f t="shared" si="1"/>
        <v>170</v>
      </c>
      <c r="B178" t="s">
        <v>302</v>
      </c>
      <c r="C178">
        <v>4159.7699999999986</v>
      </c>
      <c r="F178" t="s">
        <v>600</v>
      </c>
      <c r="G178">
        <v>362.68700000000001</v>
      </c>
      <c r="H178" t="s">
        <v>427</v>
      </c>
    </row>
    <row r="179" spans="1:8" hidden="1" x14ac:dyDescent="0.3">
      <c r="A179">
        <f t="shared" si="1"/>
        <v>171</v>
      </c>
      <c r="B179" t="s">
        <v>303</v>
      </c>
      <c r="C179">
        <v>4152.6960000000008</v>
      </c>
      <c r="F179" t="s">
        <v>601</v>
      </c>
      <c r="G179">
        <v>9.4989999999999988</v>
      </c>
      <c r="H179" t="s">
        <v>423</v>
      </c>
    </row>
    <row r="180" spans="1:8" hidden="1" x14ac:dyDescent="0.3">
      <c r="A180">
        <f t="shared" si="1"/>
        <v>172</v>
      </c>
      <c r="B180" t="s">
        <v>304</v>
      </c>
      <c r="C180">
        <v>4115.6620000000003</v>
      </c>
      <c r="F180" t="s">
        <v>602</v>
      </c>
      <c r="G180">
        <v>-14.4072</v>
      </c>
      <c r="H180" t="s">
        <v>423</v>
      </c>
    </row>
    <row r="181" spans="1:8" hidden="1" x14ac:dyDescent="0.3">
      <c r="A181">
        <f t="shared" si="1"/>
        <v>173</v>
      </c>
      <c r="B181" t="s">
        <v>305</v>
      </c>
      <c r="C181">
        <v>4105.3050000000003</v>
      </c>
      <c r="F181" t="s">
        <v>603</v>
      </c>
      <c r="G181">
        <v>524.50540000000012</v>
      </c>
      <c r="H181" t="s">
        <v>433</v>
      </c>
    </row>
    <row r="182" spans="1:8" hidden="1" x14ac:dyDescent="0.3">
      <c r="A182">
        <f t="shared" si="1"/>
        <v>174</v>
      </c>
      <c r="B182" t="s">
        <v>306</v>
      </c>
      <c r="C182">
        <v>4074.4720000000011</v>
      </c>
      <c r="F182" t="s">
        <v>604</v>
      </c>
      <c r="G182">
        <v>119.232</v>
      </c>
      <c r="H182" t="s">
        <v>427</v>
      </c>
    </row>
    <row r="183" spans="1:8" hidden="1" x14ac:dyDescent="0.3">
      <c r="A183">
        <f t="shared" si="1"/>
        <v>175</v>
      </c>
      <c r="B183" t="s">
        <v>307</v>
      </c>
      <c r="C183">
        <v>4046.746000000001</v>
      </c>
      <c r="F183" t="s">
        <v>605</v>
      </c>
      <c r="G183">
        <v>34.272000000000013</v>
      </c>
      <c r="H183" t="s">
        <v>423</v>
      </c>
    </row>
    <row r="184" spans="1:8" hidden="1" x14ac:dyDescent="0.3">
      <c r="A184">
        <f t="shared" si="1"/>
        <v>176</v>
      </c>
      <c r="B184" t="s">
        <v>308</v>
      </c>
      <c r="C184">
        <v>3990.6889999999999</v>
      </c>
      <c r="F184" t="s">
        <v>606</v>
      </c>
      <c r="G184">
        <v>133.19999999999999</v>
      </c>
      <c r="H184" t="s">
        <v>427</v>
      </c>
    </row>
    <row r="185" spans="1:8" hidden="1" x14ac:dyDescent="0.3">
      <c r="A185">
        <f t="shared" si="1"/>
        <v>177</v>
      </c>
      <c r="B185" t="s">
        <v>309</v>
      </c>
      <c r="C185">
        <v>3984.4524000000001</v>
      </c>
      <c r="F185" t="s">
        <v>607</v>
      </c>
      <c r="G185">
        <v>54.598599999999998</v>
      </c>
      <c r="H185" t="s">
        <v>423</v>
      </c>
    </row>
    <row r="186" spans="1:8" hidden="1" x14ac:dyDescent="0.3">
      <c r="A186">
        <f t="shared" si="1"/>
        <v>178</v>
      </c>
      <c r="B186" t="s">
        <v>310</v>
      </c>
      <c r="C186">
        <v>3983.6419999999998</v>
      </c>
      <c r="F186" t="s">
        <v>608</v>
      </c>
      <c r="G186">
        <v>244.24</v>
      </c>
      <c r="H186" t="s">
        <v>427</v>
      </c>
    </row>
    <row r="187" spans="1:8" hidden="1" x14ac:dyDescent="0.3">
      <c r="A187">
        <f t="shared" si="1"/>
        <v>179</v>
      </c>
      <c r="B187" t="s">
        <v>311</v>
      </c>
      <c r="C187">
        <v>3979.0650000000001</v>
      </c>
      <c r="F187" t="s">
        <v>609</v>
      </c>
      <c r="G187">
        <v>43.306199999999997</v>
      </c>
      <c r="H187" t="s">
        <v>423</v>
      </c>
    </row>
    <row r="188" spans="1:8" hidden="1" x14ac:dyDescent="0.3">
      <c r="A188">
        <f t="shared" si="1"/>
        <v>180</v>
      </c>
      <c r="B188" t="s">
        <v>312</v>
      </c>
      <c r="C188">
        <v>3949.655999999999</v>
      </c>
      <c r="F188" t="s">
        <v>610</v>
      </c>
      <c r="G188">
        <v>6.8381999999999996</v>
      </c>
      <c r="H188" t="s">
        <v>423</v>
      </c>
    </row>
    <row r="189" spans="1:8" hidden="1" x14ac:dyDescent="0.3">
      <c r="A189">
        <f t="shared" si="1"/>
        <v>181</v>
      </c>
      <c r="B189" t="s">
        <v>313</v>
      </c>
      <c r="C189">
        <v>3930.509</v>
      </c>
      <c r="F189" t="s">
        <v>611</v>
      </c>
      <c r="G189">
        <v>39.69</v>
      </c>
      <c r="H189" t="s">
        <v>423</v>
      </c>
    </row>
    <row r="190" spans="1:8" hidden="1" x14ac:dyDescent="0.3">
      <c r="A190">
        <f t="shared" si="1"/>
        <v>182</v>
      </c>
      <c r="B190" t="s">
        <v>314</v>
      </c>
      <c r="C190">
        <v>3922.415</v>
      </c>
      <c r="F190" t="s">
        <v>612</v>
      </c>
      <c r="G190">
        <v>42.45</v>
      </c>
      <c r="H190" t="s">
        <v>423</v>
      </c>
    </row>
    <row r="191" spans="1:8" hidden="1" x14ac:dyDescent="0.3">
      <c r="A191">
        <f t="shared" si="1"/>
        <v>183</v>
      </c>
      <c r="B191" t="s">
        <v>315</v>
      </c>
      <c r="C191">
        <v>3919.7759999999998</v>
      </c>
      <c r="F191" t="s">
        <v>613</v>
      </c>
      <c r="G191">
        <v>43.12</v>
      </c>
      <c r="H191" t="s">
        <v>423</v>
      </c>
    </row>
    <row r="192" spans="1:8" hidden="1" x14ac:dyDescent="0.3">
      <c r="A192">
        <f t="shared" si="1"/>
        <v>184</v>
      </c>
      <c r="B192" t="s">
        <v>316</v>
      </c>
      <c r="C192">
        <v>3918.9659999999999</v>
      </c>
      <c r="F192" t="s">
        <v>614</v>
      </c>
      <c r="G192">
        <v>5.4332000000000003</v>
      </c>
      <c r="H192" t="s">
        <v>423</v>
      </c>
    </row>
    <row r="193" spans="1:8" hidden="1" x14ac:dyDescent="0.3">
      <c r="A193">
        <f t="shared" si="1"/>
        <v>185</v>
      </c>
      <c r="B193" t="s">
        <v>317</v>
      </c>
      <c r="C193">
        <v>3913.4180000000001</v>
      </c>
      <c r="F193" t="s">
        <v>615</v>
      </c>
      <c r="G193">
        <v>32.569200000000002</v>
      </c>
      <c r="H193" t="s">
        <v>423</v>
      </c>
    </row>
    <row r="194" spans="1:8" hidden="1" x14ac:dyDescent="0.3">
      <c r="A194">
        <f t="shared" si="1"/>
        <v>186</v>
      </c>
      <c r="B194" t="s">
        <v>318</v>
      </c>
      <c r="C194">
        <v>3908.8027999999999</v>
      </c>
      <c r="F194" t="s">
        <v>616</v>
      </c>
      <c r="G194">
        <v>3.3408000000000002</v>
      </c>
      <c r="H194" t="s">
        <v>423</v>
      </c>
    </row>
    <row r="195" spans="1:8" hidden="1" x14ac:dyDescent="0.3">
      <c r="A195">
        <f t="shared" si="1"/>
        <v>187</v>
      </c>
      <c r="B195" t="s">
        <v>319</v>
      </c>
      <c r="C195">
        <v>3908.402</v>
      </c>
      <c r="F195" t="s">
        <v>617</v>
      </c>
      <c r="G195">
        <v>300.34410000000003</v>
      </c>
      <c r="H195" t="s">
        <v>427</v>
      </c>
    </row>
    <row r="196" spans="1:8" hidden="1" x14ac:dyDescent="0.3">
      <c r="A196">
        <f t="shared" si="1"/>
        <v>188</v>
      </c>
      <c r="B196" t="s">
        <v>320</v>
      </c>
      <c r="C196">
        <v>3908.2620000000002</v>
      </c>
      <c r="F196" t="s">
        <v>618</v>
      </c>
      <c r="G196">
        <v>75.146799999999999</v>
      </c>
      <c r="H196" t="s">
        <v>423</v>
      </c>
    </row>
    <row r="197" spans="1:8" hidden="1" x14ac:dyDescent="0.3">
      <c r="A197">
        <f t="shared" si="1"/>
        <v>189</v>
      </c>
      <c r="B197" t="s">
        <v>321</v>
      </c>
      <c r="C197">
        <v>3889.366</v>
      </c>
      <c r="F197" t="s">
        <v>619</v>
      </c>
      <c r="G197">
        <v>35.977499999999999</v>
      </c>
      <c r="H197" t="s">
        <v>423</v>
      </c>
    </row>
    <row r="198" spans="1:8" hidden="1" x14ac:dyDescent="0.3">
      <c r="A198">
        <f t="shared" si="1"/>
        <v>190</v>
      </c>
      <c r="B198" t="s">
        <v>322</v>
      </c>
      <c r="C198">
        <v>3887.8339999999998</v>
      </c>
      <c r="F198" t="s">
        <v>620</v>
      </c>
      <c r="G198">
        <v>23.184000000000001</v>
      </c>
      <c r="H198" t="s">
        <v>423</v>
      </c>
    </row>
    <row r="199" spans="1:8" hidden="1" x14ac:dyDescent="0.3">
      <c r="A199">
        <f t="shared" si="1"/>
        <v>191</v>
      </c>
      <c r="B199" t="s">
        <v>323</v>
      </c>
      <c r="C199">
        <v>3868.02</v>
      </c>
      <c r="F199" t="s">
        <v>621</v>
      </c>
      <c r="G199">
        <v>73.277999999999992</v>
      </c>
      <c r="H199" t="s">
        <v>423</v>
      </c>
    </row>
    <row r="200" spans="1:8" hidden="1" x14ac:dyDescent="0.3">
      <c r="A200">
        <f t="shared" si="1"/>
        <v>192</v>
      </c>
      <c r="B200" t="s">
        <v>324</v>
      </c>
      <c r="C200">
        <v>3832.3139999999989</v>
      </c>
      <c r="F200" t="s">
        <v>622</v>
      </c>
      <c r="G200">
        <v>31.564800000000002</v>
      </c>
      <c r="H200" t="s">
        <v>423</v>
      </c>
    </row>
    <row r="201" spans="1:8" hidden="1" x14ac:dyDescent="0.3">
      <c r="A201">
        <f t="shared" si="1"/>
        <v>193</v>
      </c>
      <c r="B201" t="s">
        <v>325</v>
      </c>
      <c r="C201">
        <v>3831.864</v>
      </c>
      <c r="F201" t="s">
        <v>623</v>
      </c>
      <c r="G201">
        <v>81.400000000000006</v>
      </c>
      <c r="H201" t="s">
        <v>423</v>
      </c>
    </row>
    <row r="202" spans="1:8" hidden="1" x14ac:dyDescent="0.3">
      <c r="A202">
        <f t="shared" si="1"/>
        <v>194</v>
      </c>
      <c r="B202" t="s">
        <v>326</v>
      </c>
      <c r="C202">
        <v>3818.6239999999998</v>
      </c>
      <c r="F202" t="s">
        <v>624</v>
      </c>
      <c r="G202">
        <v>18.6676</v>
      </c>
      <c r="H202" t="s">
        <v>423</v>
      </c>
    </row>
    <row r="203" spans="1:8" hidden="1" x14ac:dyDescent="0.3">
      <c r="A203">
        <f t="shared" si="1"/>
        <v>195</v>
      </c>
      <c r="B203" t="s">
        <v>327</v>
      </c>
      <c r="C203">
        <v>3815.4780000000001</v>
      </c>
      <c r="F203" t="s">
        <v>625</v>
      </c>
      <c r="G203">
        <v>22.463999999999999</v>
      </c>
      <c r="H203" t="s">
        <v>423</v>
      </c>
    </row>
    <row r="204" spans="1:8" hidden="1" x14ac:dyDescent="0.3">
      <c r="A204">
        <f t="shared" si="1"/>
        <v>196</v>
      </c>
      <c r="B204" t="s">
        <v>328</v>
      </c>
      <c r="C204">
        <v>3805.7140000000009</v>
      </c>
      <c r="F204" t="s">
        <v>626</v>
      </c>
      <c r="G204">
        <v>23.4207</v>
      </c>
      <c r="H204" t="s">
        <v>423</v>
      </c>
    </row>
    <row r="205" spans="1:8" hidden="1" x14ac:dyDescent="0.3">
      <c r="A205">
        <f t="shared" si="1"/>
        <v>197</v>
      </c>
      <c r="B205" t="s">
        <v>329</v>
      </c>
      <c r="C205">
        <v>3794.08</v>
      </c>
      <c r="F205" t="s">
        <v>627</v>
      </c>
      <c r="G205">
        <v>23.959800000000001</v>
      </c>
      <c r="H205" t="s">
        <v>423</v>
      </c>
    </row>
    <row r="206" spans="1:8" hidden="1" x14ac:dyDescent="0.3">
      <c r="A206">
        <f t="shared" si="1"/>
        <v>198</v>
      </c>
      <c r="B206" t="s">
        <v>330</v>
      </c>
      <c r="C206">
        <v>3789.7228</v>
      </c>
      <c r="F206" t="s">
        <v>628</v>
      </c>
      <c r="G206">
        <v>42.588000000000001</v>
      </c>
      <c r="H206" t="s">
        <v>423</v>
      </c>
    </row>
    <row r="207" spans="1:8" hidden="1" x14ac:dyDescent="0.3">
      <c r="A207">
        <f t="shared" si="1"/>
        <v>199</v>
      </c>
      <c r="B207" t="s">
        <v>331</v>
      </c>
      <c r="C207">
        <v>3785.2759999999998</v>
      </c>
      <c r="F207" t="s">
        <v>629</v>
      </c>
      <c r="G207">
        <v>22.95</v>
      </c>
      <c r="H207" t="s">
        <v>423</v>
      </c>
    </row>
    <row r="208" spans="1:8" hidden="1" x14ac:dyDescent="0.3">
      <c r="A208">
        <f t="shared" si="1"/>
        <v>200</v>
      </c>
      <c r="B208" t="s">
        <v>332</v>
      </c>
      <c r="C208">
        <v>3766.3820000000001</v>
      </c>
      <c r="F208" t="s">
        <v>630</v>
      </c>
      <c r="G208">
        <v>11.2112</v>
      </c>
      <c r="H208" t="s">
        <v>423</v>
      </c>
    </row>
    <row r="209" spans="1:8" hidden="1" x14ac:dyDescent="0.3">
      <c r="A209">
        <f t="shared" si="1"/>
        <v>201</v>
      </c>
      <c r="B209" t="s">
        <v>333</v>
      </c>
      <c r="C209">
        <v>3760.0279999999998</v>
      </c>
      <c r="F209" t="s">
        <v>631</v>
      </c>
      <c r="G209">
        <v>15.3459</v>
      </c>
      <c r="H209" t="s">
        <v>423</v>
      </c>
    </row>
    <row r="210" spans="1:8" hidden="1" x14ac:dyDescent="0.3">
      <c r="A210">
        <f t="shared" si="1"/>
        <v>202</v>
      </c>
      <c r="B210" t="s">
        <v>334</v>
      </c>
      <c r="C210">
        <v>3747.668000000001</v>
      </c>
      <c r="F210" t="s">
        <v>632</v>
      </c>
      <c r="G210">
        <v>68.724000000000004</v>
      </c>
      <c r="H210" t="s">
        <v>423</v>
      </c>
    </row>
    <row r="211" spans="1:8" hidden="1" x14ac:dyDescent="0.3">
      <c r="A211">
        <f t="shared" si="1"/>
        <v>203</v>
      </c>
      <c r="B211" t="s">
        <v>335</v>
      </c>
      <c r="C211">
        <v>3736.197999999999</v>
      </c>
      <c r="F211" t="s">
        <v>633</v>
      </c>
      <c r="G211">
        <v>2.8224</v>
      </c>
      <c r="H211" t="s">
        <v>423</v>
      </c>
    </row>
    <row r="212" spans="1:8" hidden="1" x14ac:dyDescent="0.3">
      <c r="A212">
        <f t="shared" si="1"/>
        <v>204</v>
      </c>
      <c r="B212" t="s">
        <v>336</v>
      </c>
      <c r="C212">
        <v>3729.7930000000001</v>
      </c>
      <c r="F212" t="s">
        <v>634</v>
      </c>
      <c r="G212">
        <v>102.746</v>
      </c>
      <c r="H212" t="s">
        <v>427</v>
      </c>
    </row>
    <row r="213" spans="1:8" hidden="1" x14ac:dyDescent="0.3">
      <c r="A213">
        <f t="shared" si="1"/>
        <v>205</v>
      </c>
      <c r="B213" t="s">
        <v>337</v>
      </c>
      <c r="C213">
        <v>3690.2840000000001</v>
      </c>
      <c r="F213" t="s">
        <v>635</v>
      </c>
      <c r="G213">
        <v>27.485600000000002</v>
      </c>
      <c r="H213" t="s">
        <v>423</v>
      </c>
    </row>
    <row r="214" spans="1:8" hidden="1" x14ac:dyDescent="0.3">
      <c r="A214">
        <f t="shared" si="1"/>
        <v>206</v>
      </c>
      <c r="B214" t="s">
        <v>338</v>
      </c>
      <c r="C214">
        <v>3675.8609999999999</v>
      </c>
      <c r="F214" t="s">
        <v>636</v>
      </c>
      <c r="G214">
        <v>23.394600000000001</v>
      </c>
      <c r="H214" t="s">
        <v>423</v>
      </c>
    </row>
    <row r="215" spans="1:8" hidden="1" x14ac:dyDescent="0.3">
      <c r="A215">
        <f t="shared" si="1"/>
        <v>207</v>
      </c>
      <c r="B215" t="s">
        <v>339</v>
      </c>
      <c r="C215">
        <v>3653.3989999999999</v>
      </c>
      <c r="F215" t="s">
        <v>637</v>
      </c>
      <c r="G215">
        <v>6.1740000000000004</v>
      </c>
      <c r="H215" t="s">
        <v>423</v>
      </c>
    </row>
    <row r="216" spans="1:8" hidden="1" x14ac:dyDescent="0.3">
      <c r="A216">
        <f t="shared" si="1"/>
        <v>208</v>
      </c>
      <c r="B216" t="s">
        <v>340</v>
      </c>
      <c r="C216">
        <v>3651.8585000000012</v>
      </c>
      <c r="F216" t="s">
        <v>638</v>
      </c>
      <c r="G216">
        <v>74.52</v>
      </c>
      <c r="H216" t="s">
        <v>423</v>
      </c>
    </row>
    <row r="217" spans="1:8" hidden="1" x14ac:dyDescent="0.3">
      <c r="A217">
        <f t="shared" si="1"/>
        <v>209</v>
      </c>
      <c r="B217" t="s">
        <v>341</v>
      </c>
      <c r="C217">
        <v>3644.978000000001</v>
      </c>
      <c r="F217" t="s">
        <v>639</v>
      </c>
      <c r="G217">
        <v>165.76</v>
      </c>
      <c r="H217" t="s">
        <v>427</v>
      </c>
    </row>
    <row r="218" spans="1:8" hidden="1" x14ac:dyDescent="0.3">
      <c r="A218">
        <f t="shared" si="1"/>
        <v>210</v>
      </c>
      <c r="B218" t="s">
        <v>342</v>
      </c>
      <c r="C218">
        <v>3635.594000000001</v>
      </c>
      <c r="F218" t="s">
        <v>640</v>
      </c>
      <c r="G218">
        <v>28.166599999999999</v>
      </c>
      <c r="H218" t="s">
        <v>423</v>
      </c>
    </row>
    <row r="219" spans="1:8" hidden="1" x14ac:dyDescent="0.3">
      <c r="A219">
        <f t="shared" si="1"/>
        <v>211</v>
      </c>
      <c r="B219" t="s">
        <v>343</v>
      </c>
      <c r="C219">
        <v>3625.3290000000002</v>
      </c>
      <c r="F219" t="s">
        <v>641</v>
      </c>
      <c r="G219">
        <v>8.64</v>
      </c>
      <c r="H219" t="s">
        <v>423</v>
      </c>
    </row>
    <row r="220" spans="1:8" hidden="1" x14ac:dyDescent="0.3">
      <c r="A220">
        <f t="shared" si="1"/>
        <v>212</v>
      </c>
      <c r="B220" t="s">
        <v>344</v>
      </c>
      <c r="C220">
        <v>3621.3760000000002</v>
      </c>
      <c r="F220" t="s">
        <v>642</v>
      </c>
      <c r="G220">
        <v>39.820099999999996</v>
      </c>
      <c r="H220" t="s">
        <v>423</v>
      </c>
    </row>
    <row r="221" spans="1:8" hidden="1" x14ac:dyDescent="0.3">
      <c r="A221">
        <f t="shared" si="1"/>
        <v>213</v>
      </c>
      <c r="B221" t="s">
        <v>345</v>
      </c>
      <c r="C221">
        <v>3589.2959999999998</v>
      </c>
      <c r="F221" t="s">
        <v>643</v>
      </c>
      <c r="G221">
        <v>14.0418</v>
      </c>
      <c r="H221" t="s">
        <v>423</v>
      </c>
    </row>
    <row r="222" spans="1:8" hidden="1" x14ac:dyDescent="0.3">
      <c r="A222">
        <f t="shared" si="1"/>
        <v>214</v>
      </c>
      <c r="B222" t="s">
        <v>346</v>
      </c>
      <c r="C222">
        <v>3582.82</v>
      </c>
      <c r="F222" t="s">
        <v>644</v>
      </c>
      <c r="G222">
        <v>41.328000000000003</v>
      </c>
      <c r="H222" t="s">
        <v>423</v>
      </c>
    </row>
    <row r="223" spans="1:8" hidden="1" x14ac:dyDescent="0.3">
      <c r="A223">
        <f t="shared" si="1"/>
        <v>215</v>
      </c>
      <c r="B223" t="s">
        <v>51</v>
      </c>
      <c r="C223">
        <v>3539.3220000000001</v>
      </c>
      <c r="F223" t="s">
        <v>645</v>
      </c>
      <c r="G223">
        <v>8.1000000000000014</v>
      </c>
      <c r="H223" t="s">
        <v>423</v>
      </c>
    </row>
    <row r="224" spans="1:8" hidden="1" x14ac:dyDescent="0.3">
      <c r="A224">
        <f t="shared" si="1"/>
        <v>216</v>
      </c>
      <c r="B224" t="s">
        <v>347</v>
      </c>
      <c r="C224">
        <v>3510.4580000000001</v>
      </c>
      <c r="F224" t="s">
        <v>646</v>
      </c>
      <c r="G224">
        <v>24.64</v>
      </c>
      <c r="H224" t="s">
        <v>423</v>
      </c>
    </row>
    <row r="225" spans="1:8" hidden="1" x14ac:dyDescent="0.3">
      <c r="A225">
        <f t="shared" si="1"/>
        <v>217</v>
      </c>
      <c r="B225" t="s">
        <v>348</v>
      </c>
      <c r="C225">
        <v>3495.6460000000002</v>
      </c>
      <c r="F225" t="s">
        <v>647</v>
      </c>
      <c r="G225">
        <v>35.373600000000003</v>
      </c>
      <c r="H225" t="s">
        <v>423</v>
      </c>
    </row>
    <row r="226" spans="1:8" hidden="1" x14ac:dyDescent="0.3">
      <c r="A226">
        <f t="shared" si="1"/>
        <v>218</v>
      </c>
      <c r="B226" t="s">
        <v>349</v>
      </c>
      <c r="C226">
        <v>3489.0396000000001</v>
      </c>
      <c r="F226" t="s">
        <v>648</v>
      </c>
      <c r="G226">
        <v>34.461599999999997</v>
      </c>
      <c r="H226" t="s">
        <v>423</v>
      </c>
    </row>
    <row r="227" spans="1:8" hidden="1" x14ac:dyDescent="0.3">
      <c r="A227">
        <f t="shared" si="1"/>
        <v>219</v>
      </c>
      <c r="B227" t="s">
        <v>350</v>
      </c>
      <c r="C227">
        <v>3484.92</v>
      </c>
      <c r="F227" t="s">
        <v>649</v>
      </c>
      <c r="G227">
        <v>22.8384</v>
      </c>
      <c r="H227" t="s">
        <v>423</v>
      </c>
    </row>
    <row r="228" spans="1:8" hidden="1" x14ac:dyDescent="0.3">
      <c r="A228">
        <f t="shared" si="1"/>
        <v>220</v>
      </c>
      <c r="B228" t="s">
        <v>351</v>
      </c>
      <c r="C228">
        <v>3454.9160000000002</v>
      </c>
      <c r="F228" t="s">
        <v>650</v>
      </c>
      <c r="G228">
        <v>29.445499999999999</v>
      </c>
      <c r="H228" t="s">
        <v>423</v>
      </c>
    </row>
    <row r="229" spans="1:8" hidden="1" x14ac:dyDescent="0.3">
      <c r="A229">
        <f t="shared" si="1"/>
        <v>221</v>
      </c>
      <c r="B229" t="s">
        <v>352</v>
      </c>
      <c r="C229">
        <v>3422.7859999999991</v>
      </c>
      <c r="F229" t="s">
        <v>651</v>
      </c>
      <c r="G229">
        <v>51.535499999999999</v>
      </c>
      <c r="H229" t="s">
        <v>423</v>
      </c>
    </row>
    <row r="230" spans="1:8" hidden="1" x14ac:dyDescent="0.3">
      <c r="A230">
        <f t="shared" si="1"/>
        <v>222</v>
      </c>
      <c r="B230" t="s">
        <v>353</v>
      </c>
      <c r="C230">
        <v>3418.7420000000002</v>
      </c>
      <c r="F230" t="s">
        <v>652</v>
      </c>
      <c r="G230">
        <v>18.855899999999998</v>
      </c>
      <c r="H230" t="s">
        <v>423</v>
      </c>
    </row>
    <row r="231" spans="1:8" hidden="1" x14ac:dyDescent="0.3">
      <c r="A231">
        <f t="shared" si="1"/>
        <v>223</v>
      </c>
      <c r="B231" t="s">
        <v>354</v>
      </c>
      <c r="C231">
        <v>3406.8395</v>
      </c>
      <c r="F231" t="s">
        <v>653</v>
      </c>
      <c r="G231">
        <v>49.14</v>
      </c>
      <c r="H231" t="s">
        <v>423</v>
      </c>
    </row>
    <row r="232" spans="1:8" hidden="1" x14ac:dyDescent="0.3">
      <c r="A232">
        <f t="shared" si="1"/>
        <v>224</v>
      </c>
      <c r="B232" t="s">
        <v>355</v>
      </c>
      <c r="C232">
        <v>3406.5810000000001</v>
      </c>
      <c r="F232" t="s">
        <v>654</v>
      </c>
      <c r="G232">
        <v>51.608600000000003</v>
      </c>
      <c r="H232" t="s">
        <v>423</v>
      </c>
    </row>
    <row r="233" spans="1:8" hidden="1" x14ac:dyDescent="0.3">
      <c r="A233">
        <f t="shared" si="1"/>
        <v>225</v>
      </c>
      <c r="B233" t="s">
        <v>356</v>
      </c>
      <c r="C233">
        <v>3368.0939999999991</v>
      </c>
      <c r="F233" t="s">
        <v>655</v>
      </c>
      <c r="G233">
        <v>31.4757</v>
      </c>
      <c r="H233" t="s">
        <v>423</v>
      </c>
    </row>
    <row r="234" spans="1:8" hidden="1" x14ac:dyDescent="0.3">
      <c r="A234">
        <f t="shared" si="1"/>
        <v>226</v>
      </c>
      <c r="B234" t="s">
        <v>357</v>
      </c>
      <c r="C234">
        <v>3362.9636</v>
      </c>
      <c r="F234" t="s">
        <v>656</v>
      </c>
      <c r="G234">
        <v>22.05</v>
      </c>
      <c r="H234" t="s">
        <v>423</v>
      </c>
    </row>
    <row r="235" spans="1:8" hidden="1" x14ac:dyDescent="0.3">
      <c r="A235">
        <f t="shared" si="1"/>
        <v>227</v>
      </c>
      <c r="B235" t="s">
        <v>358</v>
      </c>
      <c r="C235">
        <v>3360.5259999999998</v>
      </c>
      <c r="F235" t="s">
        <v>657</v>
      </c>
      <c r="G235">
        <v>126.684</v>
      </c>
      <c r="H235" t="s">
        <v>427</v>
      </c>
    </row>
    <row r="236" spans="1:8" hidden="1" x14ac:dyDescent="0.3">
      <c r="A236">
        <f t="shared" si="1"/>
        <v>228</v>
      </c>
      <c r="B236" t="s">
        <v>359</v>
      </c>
      <c r="C236">
        <v>3356.3980000000001</v>
      </c>
      <c r="F236" t="s">
        <v>658</v>
      </c>
      <c r="G236">
        <v>87.150000000000063</v>
      </c>
      <c r="H236" t="s">
        <v>423</v>
      </c>
    </row>
    <row r="237" spans="1:8" hidden="1" x14ac:dyDescent="0.3">
      <c r="A237">
        <f t="shared" si="1"/>
        <v>229</v>
      </c>
      <c r="B237" t="s">
        <v>360</v>
      </c>
      <c r="C237">
        <v>3341.587</v>
      </c>
      <c r="F237" t="s">
        <v>659</v>
      </c>
      <c r="G237">
        <v>9.8806000000000012</v>
      </c>
      <c r="H237" t="s">
        <v>423</v>
      </c>
    </row>
    <row r="238" spans="1:8" hidden="1" x14ac:dyDescent="0.3">
      <c r="A238">
        <f t="shared" ref="A238:A301" si="2">ROW()-8</f>
        <v>230</v>
      </c>
      <c r="B238" t="s">
        <v>361</v>
      </c>
      <c r="C238">
        <v>3336.5349999999999</v>
      </c>
      <c r="F238" t="s">
        <v>660</v>
      </c>
      <c r="G238">
        <v>16.733000000000001</v>
      </c>
      <c r="H238" t="s">
        <v>423</v>
      </c>
    </row>
    <row r="239" spans="1:8" hidden="1" x14ac:dyDescent="0.3">
      <c r="A239">
        <f t="shared" si="2"/>
        <v>231</v>
      </c>
      <c r="B239" t="s">
        <v>362</v>
      </c>
      <c r="C239">
        <v>3336.168000000001</v>
      </c>
      <c r="F239" t="s">
        <v>661</v>
      </c>
      <c r="G239">
        <v>13.824</v>
      </c>
      <c r="H239" t="s">
        <v>423</v>
      </c>
    </row>
    <row r="240" spans="1:8" hidden="1" x14ac:dyDescent="0.3">
      <c r="A240">
        <f t="shared" si="2"/>
        <v>232</v>
      </c>
      <c r="B240" t="s">
        <v>363</v>
      </c>
      <c r="C240">
        <v>3323.556</v>
      </c>
      <c r="F240" t="s">
        <v>662</v>
      </c>
      <c r="G240">
        <v>37.500400000000013</v>
      </c>
      <c r="H240" t="s">
        <v>423</v>
      </c>
    </row>
    <row r="241" spans="1:8" hidden="1" x14ac:dyDescent="0.3">
      <c r="A241">
        <f t="shared" si="2"/>
        <v>233</v>
      </c>
      <c r="B241" t="s">
        <v>364</v>
      </c>
      <c r="C241">
        <v>3318.485999999999</v>
      </c>
      <c r="F241" t="s">
        <v>663</v>
      </c>
      <c r="G241">
        <v>-15.5946</v>
      </c>
      <c r="H241" t="s">
        <v>423</v>
      </c>
    </row>
    <row r="242" spans="1:8" hidden="1" x14ac:dyDescent="0.3">
      <c r="A242">
        <f t="shared" si="2"/>
        <v>234</v>
      </c>
      <c r="B242" t="s">
        <v>365</v>
      </c>
      <c r="C242">
        <v>3312.864</v>
      </c>
      <c r="F242" t="s">
        <v>664</v>
      </c>
      <c r="G242">
        <v>-23.76</v>
      </c>
      <c r="H242" t="s">
        <v>423</v>
      </c>
    </row>
    <row r="243" spans="1:8" hidden="1" x14ac:dyDescent="0.3">
      <c r="A243">
        <f t="shared" si="2"/>
        <v>235</v>
      </c>
      <c r="B243" t="s">
        <v>366</v>
      </c>
      <c r="C243">
        <v>3309.150000000001</v>
      </c>
      <c r="F243" t="s">
        <v>665</v>
      </c>
      <c r="G243">
        <v>12.4564</v>
      </c>
      <c r="H243" t="s">
        <v>423</v>
      </c>
    </row>
    <row r="244" spans="1:8" hidden="1" x14ac:dyDescent="0.3">
      <c r="A244">
        <f t="shared" si="2"/>
        <v>236</v>
      </c>
      <c r="B244" t="s">
        <v>367</v>
      </c>
      <c r="C244">
        <v>3302.2620000000002</v>
      </c>
      <c r="F244" t="s">
        <v>666</v>
      </c>
      <c r="G244">
        <v>13.611599999999999</v>
      </c>
      <c r="H244" t="s">
        <v>423</v>
      </c>
    </row>
    <row r="245" spans="1:8" hidden="1" x14ac:dyDescent="0.3">
      <c r="A245">
        <f t="shared" si="2"/>
        <v>237</v>
      </c>
      <c r="B245" t="s">
        <v>368</v>
      </c>
      <c r="C245">
        <v>3288.471</v>
      </c>
      <c r="F245" t="s">
        <v>667</v>
      </c>
      <c r="G245">
        <v>48.844800000000014</v>
      </c>
      <c r="H245" t="s">
        <v>423</v>
      </c>
    </row>
    <row r="246" spans="1:8" hidden="1" x14ac:dyDescent="0.3">
      <c r="A246">
        <f t="shared" si="2"/>
        <v>238</v>
      </c>
      <c r="B246" t="s">
        <v>369</v>
      </c>
      <c r="C246">
        <v>3288.11</v>
      </c>
      <c r="F246" t="s">
        <v>668</v>
      </c>
      <c r="G246">
        <v>37.822200000000002</v>
      </c>
      <c r="H246" t="s">
        <v>423</v>
      </c>
    </row>
    <row r="247" spans="1:8" hidden="1" x14ac:dyDescent="0.3">
      <c r="A247">
        <f t="shared" si="2"/>
        <v>239</v>
      </c>
      <c r="B247" t="s">
        <v>370</v>
      </c>
      <c r="C247">
        <v>3279.7460000000001</v>
      </c>
      <c r="F247" t="s">
        <v>669</v>
      </c>
      <c r="G247">
        <v>9.3519999999999985</v>
      </c>
      <c r="H247" t="s">
        <v>423</v>
      </c>
    </row>
    <row r="248" spans="1:8" hidden="1" x14ac:dyDescent="0.3">
      <c r="A248">
        <f t="shared" si="2"/>
        <v>240</v>
      </c>
      <c r="B248" t="s">
        <v>55</v>
      </c>
      <c r="C248">
        <v>3272.2</v>
      </c>
      <c r="F248" t="s">
        <v>670</v>
      </c>
      <c r="G248">
        <v>-0.698599999999999</v>
      </c>
      <c r="H248" t="s">
        <v>423</v>
      </c>
    </row>
    <row r="249" spans="1:8" hidden="1" x14ac:dyDescent="0.3">
      <c r="A249">
        <f t="shared" si="2"/>
        <v>241</v>
      </c>
      <c r="B249" t="s">
        <v>57</v>
      </c>
      <c r="C249">
        <v>3256.48</v>
      </c>
      <c r="F249" t="s">
        <v>671</v>
      </c>
      <c r="G249">
        <v>21.886800000000001</v>
      </c>
      <c r="H249" t="s">
        <v>423</v>
      </c>
    </row>
    <row r="250" spans="1:8" hidden="1" x14ac:dyDescent="0.3">
      <c r="A250">
        <f t="shared" si="2"/>
        <v>242</v>
      </c>
      <c r="B250" t="s">
        <v>371</v>
      </c>
      <c r="C250">
        <v>3255.309999999999</v>
      </c>
      <c r="F250" t="s">
        <v>672</v>
      </c>
      <c r="G250">
        <v>29.2392</v>
      </c>
      <c r="H250" t="s">
        <v>423</v>
      </c>
    </row>
    <row r="251" spans="1:8" hidden="1" x14ac:dyDescent="0.3">
      <c r="A251">
        <f t="shared" si="2"/>
        <v>243</v>
      </c>
      <c r="B251" t="s">
        <v>372</v>
      </c>
      <c r="C251">
        <v>3254.949000000001</v>
      </c>
      <c r="F251" t="s">
        <v>673</v>
      </c>
      <c r="G251">
        <v>29.730799999999991</v>
      </c>
      <c r="H251" t="s">
        <v>423</v>
      </c>
    </row>
    <row r="252" spans="1:8" hidden="1" x14ac:dyDescent="0.3">
      <c r="A252">
        <f t="shared" si="2"/>
        <v>244</v>
      </c>
      <c r="B252" t="s">
        <v>373</v>
      </c>
      <c r="C252">
        <v>3250.3369999999991</v>
      </c>
      <c r="F252" t="s">
        <v>674</v>
      </c>
      <c r="G252">
        <v>3.0419999999999998</v>
      </c>
      <c r="H252" t="s">
        <v>423</v>
      </c>
    </row>
    <row r="253" spans="1:8" hidden="1" x14ac:dyDescent="0.3">
      <c r="A253">
        <f t="shared" si="2"/>
        <v>245</v>
      </c>
      <c r="B253" t="s">
        <v>374</v>
      </c>
      <c r="C253">
        <v>3247.6419999999989</v>
      </c>
      <c r="F253" t="s">
        <v>675</v>
      </c>
      <c r="G253">
        <v>68.376000000000005</v>
      </c>
      <c r="H253" t="s">
        <v>423</v>
      </c>
    </row>
    <row r="254" spans="1:8" hidden="1" x14ac:dyDescent="0.3">
      <c r="A254">
        <f t="shared" si="2"/>
        <v>246</v>
      </c>
      <c r="B254" t="s">
        <v>375</v>
      </c>
      <c r="C254">
        <v>3246.6260000000002</v>
      </c>
      <c r="F254" t="s">
        <v>676</v>
      </c>
      <c r="G254">
        <v>7.5035999999999996</v>
      </c>
      <c r="H254" t="s">
        <v>423</v>
      </c>
    </row>
    <row r="255" spans="1:8" hidden="1" x14ac:dyDescent="0.3">
      <c r="A255">
        <f t="shared" si="2"/>
        <v>247</v>
      </c>
      <c r="B255" t="s">
        <v>376</v>
      </c>
      <c r="C255">
        <v>3241.898000000001</v>
      </c>
      <c r="F255" t="s">
        <v>677</v>
      </c>
      <c r="G255">
        <v>9.6495999999999995</v>
      </c>
      <c r="H255" t="s">
        <v>423</v>
      </c>
    </row>
    <row r="256" spans="1:8" hidden="1" x14ac:dyDescent="0.3">
      <c r="A256">
        <f t="shared" si="2"/>
        <v>248</v>
      </c>
      <c r="B256" t="s">
        <v>377</v>
      </c>
      <c r="C256">
        <v>3236.3139999999989</v>
      </c>
      <c r="F256" t="s">
        <v>678</v>
      </c>
      <c r="G256">
        <v>3.157</v>
      </c>
      <c r="H256" t="s">
        <v>423</v>
      </c>
    </row>
    <row r="257" spans="1:8" hidden="1" x14ac:dyDescent="0.3">
      <c r="A257">
        <f t="shared" si="2"/>
        <v>249</v>
      </c>
      <c r="B257" t="s">
        <v>378</v>
      </c>
      <c r="C257">
        <v>3233.4810000000002</v>
      </c>
      <c r="F257" t="s">
        <v>679</v>
      </c>
      <c r="G257">
        <v>34.105600000000003</v>
      </c>
      <c r="H257" t="s">
        <v>423</v>
      </c>
    </row>
    <row r="258" spans="1:8" hidden="1" x14ac:dyDescent="0.3">
      <c r="A258">
        <f t="shared" si="2"/>
        <v>250</v>
      </c>
      <c r="B258" t="s">
        <v>49</v>
      </c>
      <c r="C258">
        <v>3230.308</v>
      </c>
      <c r="F258" t="s">
        <v>680</v>
      </c>
      <c r="G258">
        <v>-7.0328000000000008</v>
      </c>
      <c r="H258" t="s">
        <v>423</v>
      </c>
    </row>
    <row r="259" spans="1:8" hidden="1" x14ac:dyDescent="0.3">
      <c r="A259">
        <f t="shared" si="2"/>
        <v>251</v>
      </c>
      <c r="B259" t="s">
        <v>379</v>
      </c>
      <c r="C259">
        <v>3221.29</v>
      </c>
      <c r="F259" t="s">
        <v>681</v>
      </c>
      <c r="G259">
        <v>14.827400000000001</v>
      </c>
      <c r="H259" t="s">
        <v>423</v>
      </c>
    </row>
    <row r="260" spans="1:8" hidden="1" x14ac:dyDescent="0.3">
      <c r="A260">
        <f t="shared" si="2"/>
        <v>252</v>
      </c>
      <c r="B260" t="s">
        <v>380</v>
      </c>
      <c r="C260">
        <v>3214.2359999999999</v>
      </c>
      <c r="F260" t="s">
        <v>682</v>
      </c>
      <c r="G260">
        <v>90.214000000000013</v>
      </c>
      <c r="H260" t="s">
        <v>423</v>
      </c>
    </row>
    <row r="261" spans="1:8" hidden="1" x14ac:dyDescent="0.3">
      <c r="A261">
        <f t="shared" si="2"/>
        <v>253</v>
      </c>
      <c r="B261" t="s">
        <v>381</v>
      </c>
      <c r="C261">
        <v>3206.1320000000001</v>
      </c>
      <c r="F261" t="s">
        <v>683</v>
      </c>
      <c r="G261">
        <v>43.433399999999999</v>
      </c>
      <c r="H261" t="s">
        <v>423</v>
      </c>
    </row>
    <row r="262" spans="1:8" hidden="1" x14ac:dyDescent="0.3">
      <c r="A262">
        <f t="shared" si="2"/>
        <v>254</v>
      </c>
      <c r="B262" t="s">
        <v>382</v>
      </c>
      <c r="C262">
        <v>3202.1619999999998</v>
      </c>
      <c r="F262" t="s">
        <v>684</v>
      </c>
      <c r="G262">
        <v>43.552999999999997</v>
      </c>
      <c r="H262" t="s">
        <v>423</v>
      </c>
    </row>
    <row r="263" spans="1:8" hidden="1" x14ac:dyDescent="0.3">
      <c r="A263">
        <f t="shared" si="2"/>
        <v>255</v>
      </c>
      <c r="B263" t="s">
        <v>383</v>
      </c>
      <c r="C263">
        <v>3196.752</v>
      </c>
      <c r="F263" t="s">
        <v>685</v>
      </c>
      <c r="G263">
        <v>30.8568</v>
      </c>
      <c r="H263" t="s">
        <v>423</v>
      </c>
    </row>
    <row r="264" spans="1:8" hidden="1" x14ac:dyDescent="0.3">
      <c r="A264">
        <f t="shared" si="2"/>
        <v>256</v>
      </c>
      <c r="B264" t="s">
        <v>384</v>
      </c>
      <c r="C264">
        <v>3195.8180000000002</v>
      </c>
      <c r="F264" t="s">
        <v>686</v>
      </c>
      <c r="G264">
        <v>37.851199999999999</v>
      </c>
      <c r="H264" t="s">
        <v>423</v>
      </c>
    </row>
    <row r="265" spans="1:8" hidden="1" x14ac:dyDescent="0.3">
      <c r="A265">
        <f t="shared" si="2"/>
        <v>257</v>
      </c>
      <c r="B265" t="s">
        <v>385</v>
      </c>
      <c r="C265">
        <v>3173.8739999999998</v>
      </c>
      <c r="F265" t="s">
        <v>687</v>
      </c>
      <c r="G265">
        <v>14.749599999999999</v>
      </c>
      <c r="H265" t="s">
        <v>423</v>
      </c>
    </row>
    <row r="266" spans="1:8" hidden="1" x14ac:dyDescent="0.3">
      <c r="A266">
        <f t="shared" si="2"/>
        <v>258</v>
      </c>
      <c r="B266" t="s">
        <v>386</v>
      </c>
      <c r="C266">
        <v>3163.6280000000002</v>
      </c>
      <c r="F266" t="s">
        <v>688</v>
      </c>
      <c r="G266">
        <v>29.416799999999999</v>
      </c>
      <c r="H266" t="s">
        <v>423</v>
      </c>
    </row>
    <row r="267" spans="1:8" hidden="1" x14ac:dyDescent="0.3">
      <c r="A267">
        <f t="shared" si="2"/>
        <v>259</v>
      </c>
      <c r="B267" t="s">
        <v>387</v>
      </c>
      <c r="C267">
        <v>3159.1219999999998</v>
      </c>
      <c r="F267" t="s">
        <v>689</v>
      </c>
      <c r="G267">
        <v>42.311999999999998</v>
      </c>
      <c r="H267" t="s">
        <v>423</v>
      </c>
    </row>
    <row r="268" spans="1:8" hidden="1" x14ac:dyDescent="0.3">
      <c r="A268">
        <f t="shared" si="2"/>
        <v>260</v>
      </c>
      <c r="B268" t="s">
        <v>388</v>
      </c>
      <c r="C268">
        <v>3154.855</v>
      </c>
      <c r="F268" t="s">
        <v>690</v>
      </c>
      <c r="G268">
        <v>-69.5702</v>
      </c>
      <c r="H268" t="s">
        <v>423</v>
      </c>
    </row>
    <row r="269" spans="1:8" hidden="1" x14ac:dyDescent="0.3">
      <c r="A269">
        <f t="shared" si="2"/>
        <v>261</v>
      </c>
      <c r="B269" t="s">
        <v>389</v>
      </c>
      <c r="C269">
        <v>3152.6149999999998</v>
      </c>
      <c r="F269" t="s">
        <v>691</v>
      </c>
      <c r="G269">
        <v>-16.137</v>
      </c>
      <c r="H269" t="s">
        <v>423</v>
      </c>
    </row>
    <row r="270" spans="1:8" hidden="1" x14ac:dyDescent="0.3">
      <c r="A270">
        <f t="shared" si="2"/>
        <v>262</v>
      </c>
      <c r="B270" t="s">
        <v>390</v>
      </c>
      <c r="C270">
        <v>3144.677999999999</v>
      </c>
      <c r="F270" t="s">
        <v>692</v>
      </c>
      <c r="G270">
        <v>12.2972</v>
      </c>
      <c r="H270" t="s">
        <v>423</v>
      </c>
    </row>
    <row r="271" spans="1:8" hidden="1" x14ac:dyDescent="0.3">
      <c r="A271">
        <f t="shared" si="2"/>
        <v>263</v>
      </c>
      <c r="B271" t="s">
        <v>391</v>
      </c>
      <c r="C271">
        <v>3133.924</v>
      </c>
      <c r="F271" t="s">
        <v>693</v>
      </c>
      <c r="G271">
        <v>-2.179200000000002</v>
      </c>
      <c r="H271" t="s">
        <v>423</v>
      </c>
    </row>
    <row r="272" spans="1:8" hidden="1" x14ac:dyDescent="0.3">
      <c r="A272">
        <f t="shared" si="2"/>
        <v>264</v>
      </c>
      <c r="B272" t="s">
        <v>392</v>
      </c>
      <c r="C272">
        <v>3130.221</v>
      </c>
      <c r="F272" t="s">
        <v>694</v>
      </c>
      <c r="G272">
        <v>0</v>
      </c>
      <c r="H272" t="s">
        <v>423</v>
      </c>
    </row>
    <row r="273" spans="1:8" hidden="1" x14ac:dyDescent="0.3">
      <c r="A273">
        <f t="shared" si="2"/>
        <v>265</v>
      </c>
      <c r="B273" t="s">
        <v>393</v>
      </c>
      <c r="C273">
        <v>3127.9592000000011</v>
      </c>
      <c r="F273" t="s">
        <v>695</v>
      </c>
      <c r="G273">
        <v>85.238399999999999</v>
      </c>
      <c r="H273" t="s">
        <v>423</v>
      </c>
    </row>
    <row r="274" spans="1:8" hidden="1" x14ac:dyDescent="0.3">
      <c r="A274">
        <f t="shared" si="2"/>
        <v>266</v>
      </c>
      <c r="B274" t="s">
        <v>394</v>
      </c>
      <c r="C274">
        <v>3124.8320000000008</v>
      </c>
      <c r="F274" t="s">
        <v>696</v>
      </c>
      <c r="G274">
        <v>-4.92</v>
      </c>
      <c r="H274" t="s">
        <v>423</v>
      </c>
    </row>
    <row r="275" spans="1:8" hidden="1" x14ac:dyDescent="0.3">
      <c r="A275">
        <f t="shared" si="2"/>
        <v>267</v>
      </c>
      <c r="B275" t="s">
        <v>395</v>
      </c>
      <c r="C275">
        <v>3100.6120000000001</v>
      </c>
      <c r="F275" t="s">
        <v>697</v>
      </c>
      <c r="G275">
        <v>41.832000000000001</v>
      </c>
      <c r="H275" t="s">
        <v>423</v>
      </c>
    </row>
    <row r="276" spans="1:8" hidden="1" x14ac:dyDescent="0.3">
      <c r="A276">
        <f t="shared" si="2"/>
        <v>268</v>
      </c>
      <c r="B276" t="s">
        <v>396</v>
      </c>
      <c r="C276">
        <v>3086.9070000000002</v>
      </c>
      <c r="F276" t="s">
        <v>698</v>
      </c>
      <c r="G276">
        <v>29.9468</v>
      </c>
      <c r="H276" t="s">
        <v>423</v>
      </c>
    </row>
    <row r="277" spans="1:8" hidden="1" x14ac:dyDescent="0.3">
      <c r="A277">
        <f t="shared" si="2"/>
        <v>269</v>
      </c>
      <c r="B277" t="s">
        <v>50</v>
      </c>
      <c r="C277">
        <v>3082.6529999999998</v>
      </c>
      <c r="F277" t="s">
        <v>699</v>
      </c>
      <c r="G277">
        <v>8.9379999999999988</v>
      </c>
      <c r="H277" t="s">
        <v>423</v>
      </c>
    </row>
    <row r="278" spans="1:8" hidden="1" x14ac:dyDescent="0.3">
      <c r="A278">
        <f t="shared" si="2"/>
        <v>270</v>
      </c>
      <c r="B278" t="s">
        <v>397</v>
      </c>
      <c r="C278">
        <v>3078.6239999999998</v>
      </c>
      <c r="F278" t="s">
        <v>700</v>
      </c>
      <c r="G278">
        <v>43.714399999999998</v>
      </c>
      <c r="H278" t="s">
        <v>423</v>
      </c>
    </row>
    <row r="279" spans="1:8" hidden="1" x14ac:dyDescent="0.3">
      <c r="A279">
        <f t="shared" si="2"/>
        <v>271</v>
      </c>
      <c r="B279" t="s">
        <v>398</v>
      </c>
      <c r="C279">
        <v>3071.1260000000002</v>
      </c>
      <c r="F279" t="s">
        <v>701</v>
      </c>
      <c r="G279">
        <v>30.884399999999999</v>
      </c>
      <c r="H279" t="s">
        <v>423</v>
      </c>
    </row>
    <row r="280" spans="1:8" hidden="1" x14ac:dyDescent="0.3">
      <c r="A280">
        <f t="shared" si="2"/>
        <v>272</v>
      </c>
      <c r="B280" t="s">
        <v>399</v>
      </c>
      <c r="C280">
        <v>3061.5430000000001</v>
      </c>
      <c r="F280" t="s">
        <v>702</v>
      </c>
      <c r="G280">
        <v>30.585599999999999</v>
      </c>
      <c r="H280" t="s">
        <v>423</v>
      </c>
    </row>
    <row r="281" spans="1:8" hidden="1" x14ac:dyDescent="0.3">
      <c r="A281">
        <f t="shared" si="2"/>
        <v>273</v>
      </c>
      <c r="B281" t="s">
        <v>400</v>
      </c>
      <c r="C281">
        <v>3058.3719999999998</v>
      </c>
      <c r="F281" t="s">
        <v>703</v>
      </c>
      <c r="G281">
        <v>53.576800000000013</v>
      </c>
      <c r="H281" t="s">
        <v>423</v>
      </c>
    </row>
    <row r="282" spans="1:8" hidden="1" x14ac:dyDescent="0.3">
      <c r="A282">
        <f t="shared" si="2"/>
        <v>274</v>
      </c>
      <c r="B282" t="s">
        <v>401</v>
      </c>
      <c r="C282">
        <v>3057.1</v>
      </c>
      <c r="F282" t="s">
        <v>704</v>
      </c>
      <c r="G282">
        <v>113.274</v>
      </c>
      <c r="H282" t="s">
        <v>427</v>
      </c>
    </row>
    <row r="283" spans="1:8" hidden="1" x14ac:dyDescent="0.3">
      <c r="A283">
        <f t="shared" si="2"/>
        <v>275</v>
      </c>
      <c r="B283" t="s">
        <v>402</v>
      </c>
      <c r="C283">
        <v>3056.8069999999998</v>
      </c>
      <c r="F283" t="s">
        <v>705</v>
      </c>
      <c r="G283">
        <v>120.33369999999999</v>
      </c>
      <c r="H283" t="s">
        <v>427</v>
      </c>
    </row>
    <row r="284" spans="1:8" hidden="1" x14ac:dyDescent="0.3">
      <c r="A284">
        <f t="shared" si="2"/>
        <v>276</v>
      </c>
      <c r="B284" t="s">
        <v>403</v>
      </c>
      <c r="C284">
        <v>3053.0120000000011</v>
      </c>
      <c r="F284" t="s">
        <v>706</v>
      </c>
      <c r="G284">
        <v>-795.97250000000008</v>
      </c>
      <c r="H284" t="s">
        <v>423</v>
      </c>
    </row>
    <row r="285" spans="1:8" hidden="1" x14ac:dyDescent="0.3">
      <c r="A285">
        <f t="shared" si="2"/>
        <v>277</v>
      </c>
      <c r="B285" t="s">
        <v>404</v>
      </c>
      <c r="C285">
        <v>3050.692</v>
      </c>
      <c r="F285" t="s">
        <v>707</v>
      </c>
      <c r="G285">
        <v>1327.9834000000001</v>
      </c>
      <c r="H285" t="s">
        <v>433</v>
      </c>
    </row>
    <row r="286" spans="1:8" hidden="1" x14ac:dyDescent="0.3">
      <c r="A286">
        <f t="shared" si="2"/>
        <v>278</v>
      </c>
      <c r="B286" t="s">
        <v>405</v>
      </c>
      <c r="C286">
        <v>3041.5659999999989</v>
      </c>
      <c r="F286" t="s">
        <v>708</v>
      </c>
      <c r="G286">
        <v>0.3024</v>
      </c>
      <c r="H286" t="s">
        <v>423</v>
      </c>
    </row>
    <row r="287" spans="1:8" hidden="1" x14ac:dyDescent="0.3">
      <c r="A287">
        <f t="shared" si="2"/>
        <v>279</v>
      </c>
      <c r="B287" t="s">
        <v>406</v>
      </c>
      <c r="C287">
        <v>3036.547</v>
      </c>
      <c r="F287" t="s">
        <v>709</v>
      </c>
      <c r="G287">
        <v>-216.25450000000001</v>
      </c>
      <c r="H287" t="s">
        <v>423</v>
      </c>
    </row>
    <row r="288" spans="1:8" hidden="1" x14ac:dyDescent="0.3">
      <c r="A288">
        <f t="shared" si="2"/>
        <v>280</v>
      </c>
      <c r="B288" t="s">
        <v>407</v>
      </c>
      <c r="C288">
        <v>2988.674</v>
      </c>
      <c r="F288" t="s">
        <v>46</v>
      </c>
      <c r="G288">
        <v>-1201.0581</v>
      </c>
      <c r="H288" t="s">
        <v>423</v>
      </c>
    </row>
    <row r="289" spans="1:8" hidden="1" x14ac:dyDescent="0.3">
      <c r="A289">
        <f t="shared" si="2"/>
        <v>281</v>
      </c>
      <c r="B289" t="s">
        <v>52</v>
      </c>
      <c r="C289">
        <v>2984.9479999999999</v>
      </c>
      <c r="F289" t="s">
        <v>710</v>
      </c>
      <c r="G289">
        <v>-357.97500000000002</v>
      </c>
      <c r="H289" t="s">
        <v>423</v>
      </c>
    </row>
    <row r="290" spans="1:8" hidden="1" x14ac:dyDescent="0.3">
      <c r="A290">
        <f t="shared" si="2"/>
        <v>282</v>
      </c>
      <c r="B290" t="s">
        <v>408</v>
      </c>
      <c r="C290">
        <v>2984.0539999999992</v>
      </c>
      <c r="F290" t="s">
        <v>711</v>
      </c>
      <c r="G290">
        <v>17.6358</v>
      </c>
      <c r="H290" t="s">
        <v>423</v>
      </c>
    </row>
    <row r="291" spans="1:8" hidden="1" x14ac:dyDescent="0.3">
      <c r="A291">
        <f t="shared" si="2"/>
        <v>283</v>
      </c>
      <c r="B291" t="s">
        <v>409</v>
      </c>
      <c r="C291">
        <v>2973.0940000000001</v>
      </c>
      <c r="F291" t="s">
        <v>712</v>
      </c>
      <c r="G291">
        <v>-104.83199999999999</v>
      </c>
      <c r="H291" t="s">
        <v>423</v>
      </c>
    </row>
    <row r="292" spans="1:8" hidden="1" x14ac:dyDescent="0.3">
      <c r="A292">
        <f t="shared" si="2"/>
        <v>284</v>
      </c>
      <c r="B292" t="s">
        <v>410</v>
      </c>
      <c r="C292">
        <v>2964.822999999999</v>
      </c>
      <c r="F292" t="s">
        <v>713</v>
      </c>
      <c r="G292">
        <v>15.3522</v>
      </c>
      <c r="H292" t="s">
        <v>423</v>
      </c>
    </row>
    <row r="293" spans="1:8" hidden="1" x14ac:dyDescent="0.3">
      <c r="A293">
        <f t="shared" si="2"/>
        <v>285</v>
      </c>
      <c r="B293" t="s">
        <v>411</v>
      </c>
      <c r="C293">
        <v>2955.2260000000001</v>
      </c>
      <c r="F293" t="s">
        <v>714</v>
      </c>
      <c r="G293">
        <v>-47.183999999999997</v>
      </c>
      <c r="H293" t="s">
        <v>423</v>
      </c>
    </row>
    <row r="294" spans="1:8" hidden="1" x14ac:dyDescent="0.3">
      <c r="A294">
        <f t="shared" si="2"/>
        <v>286</v>
      </c>
      <c r="B294" t="s">
        <v>412</v>
      </c>
      <c r="C294">
        <v>2945.3209999999999</v>
      </c>
      <c r="F294" t="s">
        <v>715</v>
      </c>
      <c r="G294">
        <v>-179.6652</v>
      </c>
      <c r="H294" t="s">
        <v>423</v>
      </c>
    </row>
    <row r="295" spans="1:8" hidden="1" x14ac:dyDescent="0.3">
      <c r="A295">
        <f t="shared" si="2"/>
        <v>287</v>
      </c>
      <c r="B295" t="s">
        <v>413</v>
      </c>
      <c r="C295">
        <v>2942.7719999999999</v>
      </c>
      <c r="F295" t="s">
        <v>716</v>
      </c>
      <c r="G295">
        <v>199.61699999999999</v>
      </c>
      <c r="H295" t="s">
        <v>427</v>
      </c>
    </row>
    <row r="296" spans="1:8" hidden="1" x14ac:dyDescent="0.3">
      <c r="A296">
        <f t="shared" si="2"/>
        <v>288</v>
      </c>
      <c r="B296" t="s">
        <v>414</v>
      </c>
      <c r="C296">
        <v>2936.251999999999</v>
      </c>
      <c r="F296" t="s">
        <v>717</v>
      </c>
      <c r="G296">
        <v>207.02399999999989</v>
      </c>
      <c r="H296" t="s">
        <v>427</v>
      </c>
    </row>
    <row r="297" spans="1:8" hidden="1" x14ac:dyDescent="0.3">
      <c r="A297">
        <f t="shared" si="2"/>
        <v>289</v>
      </c>
      <c r="B297" t="s">
        <v>415</v>
      </c>
      <c r="C297">
        <v>2933.675999999999</v>
      </c>
      <c r="F297" t="s">
        <v>718</v>
      </c>
      <c r="G297">
        <v>28.749600000000001</v>
      </c>
      <c r="H297" t="s">
        <v>423</v>
      </c>
    </row>
    <row r="298" spans="1:8" hidden="1" x14ac:dyDescent="0.3">
      <c r="A298">
        <f t="shared" si="2"/>
        <v>290</v>
      </c>
      <c r="B298" t="s">
        <v>416</v>
      </c>
      <c r="C298">
        <v>2932.4839999999999</v>
      </c>
      <c r="F298" t="s">
        <v>719</v>
      </c>
      <c r="G298">
        <v>176.87039999999999</v>
      </c>
      <c r="H298" t="s">
        <v>427</v>
      </c>
    </row>
    <row r="299" spans="1:8" hidden="1" x14ac:dyDescent="0.3">
      <c r="A299">
        <f t="shared" si="2"/>
        <v>291</v>
      </c>
      <c r="B299" t="s">
        <v>417</v>
      </c>
      <c r="C299">
        <v>2921.5439999999999</v>
      </c>
      <c r="F299" t="s">
        <v>720</v>
      </c>
      <c r="G299">
        <v>17.765999999999998</v>
      </c>
      <c r="H299" t="s">
        <v>423</v>
      </c>
    </row>
    <row r="300" spans="1:8" hidden="1" x14ac:dyDescent="0.3">
      <c r="A300">
        <f t="shared" si="2"/>
        <v>292</v>
      </c>
      <c r="B300" t="s">
        <v>418</v>
      </c>
      <c r="C300">
        <v>2921.4999999999991</v>
      </c>
      <c r="F300" t="s">
        <v>721</v>
      </c>
      <c r="G300">
        <v>2.794</v>
      </c>
      <c r="H300" t="s">
        <v>423</v>
      </c>
    </row>
    <row r="301" spans="1:8" hidden="1" x14ac:dyDescent="0.3">
      <c r="A301">
        <f t="shared" si="2"/>
        <v>293</v>
      </c>
      <c r="B301" t="s">
        <v>419</v>
      </c>
      <c r="C301">
        <v>2912.8939999999998</v>
      </c>
      <c r="F301" t="s">
        <v>722</v>
      </c>
      <c r="G301">
        <v>188.50800000000001</v>
      </c>
      <c r="H301" t="s">
        <v>427</v>
      </c>
    </row>
    <row r="302" spans="1:8" hidden="1" x14ac:dyDescent="0.3">
      <c r="A302">
        <f t="shared" ref="A302" si="3">ROW()-8</f>
        <v>294</v>
      </c>
      <c r="B302" t="s">
        <v>420</v>
      </c>
      <c r="C302">
        <v>2900.0259999999998</v>
      </c>
      <c r="F302" t="s">
        <v>723</v>
      </c>
      <c r="G302">
        <v>89.97</v>
      </c>
      <c r="H302" t="s">
        <v>423</v>
      </c>
    </row>
    <row r="303" spans="1:8" x14ac:dyDescent="0.3">
      <c r="F303" t="s">
        <v>724</v>
      </c>
      <c r="G303">
        <v>168.4384</v>
      </c>
      <c r="H303" t="s">
        <v>427</v>
      </c>
    </row>
    <row r="304" spans="1:8" x14ac:dyDescent="0.3">
      <c r="F304" t="s">
        <v>725</v>
      </c>
      <c r="G304">
        <v>83.376000000000005</v>
      </c>
      <c r="H304" t="s">
        <v>423</v>
      </c>
    </row>
    <row r="305" spans="6:8" x14ac:dyDescent="0.3">
      <c r="F305" t="s">
        <v>726</v>
      </c>
      <c r="G305">
        <v>110.304</v>
      </c>
      <c r="H305" t="s">
        <v>427</v>
      </c>
    </row>
    <row r="306" spans="6:8" x14ac:dyDescent="0.3">
      <c r="F306" t="s">
        <v>727</v>
      </c>
      <c r="G306">
        <v>66.277899999999988</v>
      </c>
      <c r="H306" t="s">
        <v>423</v>
      </c>
    </row>
    <row r="307" spans="6:8" x14ac:dyDescent="0.3">
      <c r="F307" t="s">
        <v>728</v>
      </c>
      <c r="G307">
        <v>162.57919999999999</v>
      </c>
      <c r="H307" t="s">
        <v>427</v>
      </c>
    </row>
    <row r="308" spans="6:8" x14ac:dyDescent="0.3">
      <c r="F308" t="s">
        <v>729</v>
      </c>
      <c r="G308">
        <v>122.8368</v>
      </c>
      <c r="H308" t="s">
        <v>427</v>
      </c>
    </row>
    <row r="309" spans="6:8" x14ac:dyDescent="0.3">
      <c r="F309" t="s">
        <v>730</v>
      </c>
      <c r="G309">
        <v>101.003</v>
      </c>
      <c r="H309" t="s">
        <v>427</v>
      </c>
    </row>
    <row r="310" spans="6:8" x14ac:dyDescent="0.3">
      <c r="F310" t="s">
        <v>731</v>
      </c>
      <c r="G310">
        <v>-120.176</v>
      </c>
      <c r="H310" t="s">
        <v>423</v>
      </c>
    </row>
    <row r="311" spans="6:8" x14ac:dyDescent="0.3">
      <c r="F311" t="s">
        <v>732</v>
      </c>
      <c r="G311">
        <v>12.994400000000001</v>
      </c>
      <c r="H311" t="s">
        <v>423</v>
      </c>
    </row>
    <row r="312" spans="6:8" x14ac:dyDescent="0.3">
      <c r="F312" t="s">
        <v>733</v>
      </c>
      <c r="G312">
        <v>0</v>
      </c>
      <c r="H312" t="s">
        <v>423</v>
      </c>
    </row>
    <row r="313" spans="6:8" x14ac:dyDescent="0.3">
      <c r="F313" t="s">
        <v>734</v>
      </c>
      <c r="G313">
        <v>55.381199999999993</v>
      </c>
      <c r="H313" t="s">
        <v>423</v>
      </c>
    </row>
    <row r="314" spans="6:8" x14ac:dyDescent="0.3">
      <c r="F314" t="s">
        <v>735</v>
      </c>
      <c r="G314">
        <v>16.106999999999999</v>
      </c>
      <c r="H314" t="s">
        <v>423</v>
      </c>
    </row>
    <row r="315" spans="6:8" x14ac:dyDescent="0.3">
      <c r="F315" t="s">
        <v>736</v>
      </c>
      <c r="G315">
        <v>79.2971</v>
      </c>
      <c r="H315" t="s">
        <v>423</v>
      </c>
    </row>
    <row r="316" spans="6:8" x14ac:dyDescent="0.3">
      <c r="F316" t="s">
        <v>737</v>
      </c>
      <c r="G316">
        <v>5.1064999999999987</v>
      </c>
      <c r="H316" t="s">
        <v>423</v>
      </c>
    </row>
    <row r="317" spans="6:8" x14ac:dyDescent="0.3">
      <c r="F317" t="s">
        <v>738</v>
      </c>
      <c r="G317">
        <v>6.2957999999999998</v>
      </c>
      <c r="H317" t="s">
        <v>423</v>
      </c>
    </row>
    <row r="318" spans="6:8" x14ac:dyDescent="0.3">
      <c r="F318" t="s">
        <v>739</v>
      </c>
      <c r="G318">
        <v>49.780700000000003</v>
      </c>
      <c r="H318" t="s">
        <v>423</v>
      </c>
    </row>
    <row r="319" spans="6:8" x14ac:dyDescent="0.3">
      <c r="F319" t="s">
        <v>740</v>
      </c>
      <c r="G319">
        <v>-612.93869999999993</v>
      </c>
      <c r="H319" t="s">
        <v>423</v>
      </c>
    </row>
    <row r="320" spans="6:8" x14ac:dyDescent="0.3">
      <c r="F320" t="s">
        <v>741</v>
      </c>
      <c r="G320">
        <v>448.16399999999999</v>
      </c>
      <c r="H320" t="s">
        <v>427</v>
      </c>
    </row>
    <row r="321" spans="6:8" x14ac:dyDescent="0.3">
      <c r="F321" t="s">
        <v>742</v>
      </c>
      <c r="G321">
        <v>-164.72</v>
      </c>
      <c r="H321" t="s">
        <v>423</v>
      </c>
    </row>
    <row r="322" spans="6:8" x14ac:dyDescent="0.3">
      <c r="F322" t="s">
        <v>743</v>
      </c>
      <c r="G322">
        <v>-445.58699999999999</v>
      </c>
      <c r="H322" t="s">
        <v>423</v>
      </c>
    </row>
    <row r="323" spans="6:8" x14ac:dyDescent="0.3">
      <c r="F323" t="s">
        <v>744</v>
      </c>
      <c r="G323">
        <v>-856.01440000000002</v>
      </c>
      <c r="H323" t="s">
        <v>423</v>
      </c>
    </row>
    <row r="324" spans="6:8" x14ac:dyDescent="0.3">
      <c r="F324" t="s">
        <v>745</v>
      </c>
      <c r="G324">
        <v>-586.83960000000002</v>
      </c>
      <c r="H324" t="s">
        <v>423</v>
      </c>
    </row>
    <row r="325" spans="6:8" x14ac:dyDescent="0.3">
      <c r="F325" t="s">
        <v>746</v>
      </c>
      <c r="G325">
        <v>-192.18539999999999</v>
      </c>
      <c r="H325" t="s">
        <v>423</v>
      </c>
    </row>
    <row r="326" spans="6:8" x14ac:dyDescent="0.3">
      <c r="F326" t="s">
        <v>747</v>
      </c>
      <c r="G326">
        <v>-39.443800000000003</v>
      </c>
      <c r="H326" t="s">
        <v>423</v>
      </c>
    </row>
    <row r="327" spans="6:8" x14ac:dyDescent="0.3">
      <c r="F327" t="s">
        <v>748</v>
      </c>
      <c r="G327">
        <v>100.9746</v>
      </c>
      <c r="H327" t="s">
        <v>427</v>
      </c>
    </row>
    <row r="328" spans="6:8" x14ac:dyDescent="0.3">
      <c r="F328" t="s">
        <v>749</v>
      </c>
      <c r="G328">
        <v>-519.94100000000003</v>
      </c>
      <c r="H328" t="s">
        <v>423</v>
      </c>
    </row>
    <row r="329" spans="6:8" x14ac:dyDescent="0.3">
      <c r="F329" t="s">
        <v>750</v>
      </c>
      <c r="G329">
        <v>117.059</v>
      </c>
      <c r="H329" t="s">
        <v>427</v>
      </c>
    </row>
    <row r="330" spans="6:8" x14ac:dyDescent="0.3">
      <c r="F330" t="s">
        <v>751</v>
      </c>
      <c r="G330">
        <v>-456.70319999999998</v>
      </c>
      <c r="H330" t="s">
        <v>423</v>
      </c>
    </row>
    <row r="331" spans="6:8" x14ac:dyDescent="0.3">
      <c r="F331" t="s">
        <v>752</v>
      </c>
      <c r="G331">
        <v>15.332800000000001</v>
      </c>
      <c r="H331" t="s">
        <v>423</v>
      </c>
    </row>
    <row r="332" spans="6:8" x14ac:dyDescent="0.3">
      <c r="F332" t="s">
        <v>753</v>
      </c>
      <c r="G332">
        <v>7.8064</v>
      </c>
      <c r="H332" t="s">
        <v>423</v>
      </c>
    </row>
    <row r="333" spans="6:8" x14ac:dyDescent="0.3">
      <c r="F333" t="s">
        <v>754</v>
      </c>
      <c r="G333">
        <v>182.60419999999999</v>
      </c>
      <c r="H333" t="s">
        <v>427</v>
      </c>
    </row>
    <row r="334" spans="6:8" x14ac:dyDescent="0.3">
      <c r="F334" t="s">
        <v>755</v>
      </c>
      <c r="G334">
        <v>26.853999999999999</v>
      </c>
      <c r="H334" t="s">
        <v>423</v>
      </c>
    </row>
    <row r="335" spans="6:8" x14ac:dyDescent="0.3">
      <c r="F335" t="s">
        <v>756</v>
      </c>
      <c r="G335">
        <v>6.7399999999999993</v>
      </c>
      <c r="H335" t="s">
        <v>423</v>
      </c>
    </row>
    <row r="336" spans="6:8" x14ac:dyDescent="0.3">
      <c r="F336" t="s">
        <v>757</v>
      </c>
      <c r="G336">
        <v>13.459</v>
      </c>
      <c r="H336" t="s">
        <v>423</v>
      </c>
    </row>
    <row r="337" spans="6:8" x14ac:dyDescent="0.3">
      <c r="F337" t="s">
        <v>758</v>
      </c>
      <c r="G337">
        <v>5.7455999999999996</v>
      </c>
      <c r="H337" t="s">
        <v>423</v>
      </c>
    </row>
    <row r="338" spans="6:8" x14ac:dyDescent="0.3">
      <c r="F338" t="s">
        <v>759</v>
      </c>
      <c r="G338">
        <v>10.670400000000001</v>
      </c>
      <c r="H338" t="s">
        <v>423</v>
      </c>
    </row>
    <row r="339" spans="6:8" x14ac:dyDescent="0.3">
      <c r="F339" t="s">
        <v>760</v>
      </c>
      <c r="G339">
        <v>17.52</v>
      </c>
      <c r="H339" t="s">
        <v>423</v>
      </c>
    </row>
    <row r="340" spans="6:8" x14ac:dyDescent="0.3">
      <c r="F340" t="s">
        <v>761</v>
      </c>
      <c r="G340">
        <v>201.15809999999999</v>
      </c>
      <c r="H340" t="s">
        <v>427</v>
      </c>
    </row>
    <row r="341" spans="6:8" x14ac:dyDescent="0.3">
      <c r="F341" t="s">
        <v>762</v>
      </c>
      <c r="G341">
        <v>53.696000000000012</v>
      </c>
      <c r="H341" t="s">
        <v>423</v>
      </c>
    </row>
    <row r="342" spans="6:8" x14ac:dyDescent="0.3">
      <c r="F342" t="s">
        <v>763</v>
      </c>
      <c r="G342">
        <v>15.5608</v>
      </c>
      <c r="H342" t="s">
        <v>423</v>
      </c>
    </row>
    <row r="343" spans="6:8" x14ac:dyDescent="0.3">
      <c r="F343" t="s">
        <v>764</v>
      </c>
      <c r="G343">
        <v>20.820799999999998</v>
      </c>
      <c r="H343" t="s">
        <v>423</v>
      </c>
    </row>
    <row r="344" spans="6:8" x14ac:dyDescent="0.3">
      <c r="F344" t="s">
        <v>765</v>
      </c>
      <c r="G344">
        <v>65.136499999999998</v>
      </c>
      <c r="H344" t="s">
        <v>423</v>
      </c>
    </row>
    <row r="345" spans="6:8" x14ac:dyDescent="0.3">
      <c r="F345" t="s">
        <v>766</v>
      </c>
      <c r="G345">
        <v>548.05650000000003</v>
      </c>
      <c r="H345" t="s">
        <v>433</v>
      </c>
    </row>
    <row r="346" spans="6:8" x14ac:dyDescent="0.3">
      <c r="F346" t="s">
        <v>767</v>
      </c>
      <c r="G346">
        <v>12.602399999999999</v>
      </c>
      <c r="H346" t="s">
        <v>423</v>
      </c>
    </row>
    <row r="347" spans="6:8" x14ac:dyDescent="0.3">
      <c r="F347" t="s">
        <v>768</v>
      </c>
      <c r="G347">
        <v>127.483</v>
      </c>
      <c r="H347" t="s">
        <v>427</v>
      </c>
    </row>
    <row r="348" spans="6:8" x14ac:dyDescent="0.3">
      <c r="F348" t="s">
        <v>769</v>
      </c>
      <c r="G348">
        <v>299.85000000000002</v>
      </c>
      <c r="H348" t="s">
        <v>427</v>
      </c>
    </row>
    <row r="349" spans="6:8" x14ac:dyDescent="0.3">
      <c r="F349" t="s">
        <v>770</v>
      </c>
      <c r="G349">
        <v>76.7744</v>
      </c>
      <c r="H349" t="s">
        <v>423</v>
      </c>
    </row>
    <row r="350" spans="6:8" x14ac:dyDescent="0.3">
      <c r="F350" t="s">
        <v>771</v>
      </c>
      <c r="G350">
        <v>967.1400000000001</v>
      </c>
      <c r="H350" t="s">
        <v>433</v>
      </c>
    </row>
    <row r="351" spans="6:8" x14ac:dyDescent="0.3">
      <c r="F351" t="s">
        <v>772</v>
      </c>
      <c r="G351">
        <v>206.2662</v>
      </c>
      <c r="H351" t="s">
        <v>427</v>
      </c>
    </row>
    <row r="352" spans="6:8" x14ac:dyDescent="0.3">
      <c r="F352" t="s">
        <v>773</v>
      </c>
      <c r="G352">
        <v>19.128</v>
      </c>
      <c r="H352" t="s">
        <v>423</v>
      </c>
    </row>
    <row r="353" spans="6:8" x14ac:dyDescent="0.3">
      <c r="F353" t="s">
        <v>774</v>
      </c>
      <c r="G353">
        <v>13.125</v>
      </c>
      <c r="H353" t="s">
        <v>423</v>
      </c>
    </row>
    <row r="354" spans="6:8" x14ac:dyDescent="0.3">
      <c r="F354" t="s">
        <v>775</v>
      </c>
      <c r="G354">
        <v>16.324000000000002</v>
      </c>
      <c r="H354" t="s">
        <v>423</v>
      </c>
    </row>
    <row r="355" spans="6:8" x14ac:dyDescent="0.3">
      <c r="F355" t="s">
        <v>776</v>
      </c>
      <c r="G355">
        <v>69.991799999999998</v>
      </c>
      <c r="H355" t="s">
        <v>423</v>
      </c>
    </row>
    <row r="356" spans="6:8" x14ac:dyDescent="0.3">
      <c r="F356" t="s">
        <v>777</v>
      </c>
      <c r="G356">
        <v>44.470399999999998</v>
      </c>
      <c r="H356" t="s">
        <v>423</v>
      </c>
    </row>
    <row r="357" spans="6:8" x14ac:dyDescent="0.3">
      <c r="F357" t="s">
        <v>778</v>
      </c>
      <c r="G357">
        <v>109.116</v>
      </c>
      <c r="H357" t="s">
        <v>427</v>
      </c>
    </row>
    <row r="358" spans="6:8" x14ac:dyDescent="0.3">
      <c r="F358" t="s">
        <v>779</v>
      </c>
      <c r="G358">
        <v>17.847000000000001</v>
      </c>
      <c r="H358" t="s">
        <v>423</v>
      </c>
    </row>
    <row r="359" spans="6:8" x14ac:dyDescent="0.3">
      <c r="F359" t="s">
        <v>780</v>
      </c>
      <c r="G359">
        <v>4.4939999999999998</v>
      </c>
      <c r="H359" t="s">
        <v>423</v>
      </c>
    </row>
    <row r="360" spans="6:8" x14ac:dyDescent="0.3">
      <c r="F360" t="s">
        <v>781</v>
      </c>
      <c r="G360">
        <v>92.488500000000002</v>
      </c>
      <c r="H360" t="s">
        <v>423</v>
      </c>
    </row>
    <row r="361" spans="6:8" x14ac:dyDescent="0.3">
      <c r="F361" t="s">
        <v>782</v>
      </c>
      <c r="G361">
        <v>118.23</v>
      </c>
      <c r="H361" t="s">
        <v>427</v>
      </c>
    </row>
    <row r="362" spans="6:8" x14ac:dyDescent="0.3">
      <c r="F362" t="s">
        <v>783</v>
      </c>
      <c r="G362">
        <v>310.89</v>
      </c>
      <c r="H362" t="s">
        <v>427</v>
      </c>
    </row>
    <row r="363" spans="6:8" x14ac:dyDescent="0.3">
      <c r="F363" t="s">
        <v>784</v>
      </c>
      <c r="G363">
        <v>70.477000000000004</v>
      </c>
      <c r="H363" t="s">
        <v>423</v>
      </c>
    </row>
    <row r="364" spans="6:8" x14ac:dyDescent="0.3">
      <c r="F364" t="s">
        <v>785</v>
      </c>
      <c r="G364">
        <v>119.548</v>
      </c>
      <c r="H364" t="s">
        <v>427</v>
      </c>
    </row>
    <row r="365" spans="6:8" x14ac:dyDescent="0.3">
      <c r="F365" t="s">
        <v>786</v>
      </c>
      <c r="G365">
        <v>109.785</v>
      </c>
      <c r="H365" t="s">
        <v>427</v>
      </c>
    </row>
    <row r="366" spans="6:8" x14ac:dyDescent="0.3">
      <c r="F366" t="s">
        <v>787</v>
      </c>
      <c r="G366">
        <v>149.94319999999999</v>
      </c>
      <c r="H366" t="s">
        <v>427</v>
      </c>
    </row>
    <row r="367" spans="6:8" x14ac:dyDescent="0.3">
      <c r="F367" t="s">
        <v>47</v>
      </c>
      <c r="G367">
        <v>-1148.4375</v>
      </c>
      <c r="H367" t="s">
        <v>423</v>
      </c>
    </row>
    <row r="368" spans="6:8" x14ac:dyDescent="0.3">
      <c r="F368" t="s">
        <v>788</v>
      </c>
      <c r="G368">
        <v>20.8325</v>
      </c>
      <c r="H368" t="s">
        <v>423</v>
      </c>
    </row>
    <row r="369" spans="6:8" x14ac:dyDescent="0.3">
      <c r="F369" t="s">
        <v>789</v>
      </c>
      <c r="G369">
        <v>-532.76130000000001</v>
      </c>
      <c r="H369" t="s">
        <v>423</v>
      </c>
    </row>
    <row r="370" spans="6:8" x14ac:dyDescent="0.3">
      <c r="F370" t="s">
        <v>790</v>
      </c>
      <c r="G370">
        <v>461.12700000000012</v>
      </c>
      <c r="H370" t="s">
        <v>427</v>
      </c>
    </row>
    <row r="371" spans="6:8" x14ac:dyDescent="0.3">
      <c r="F371" t="s">
        <v>791</v>
      </c>
      <c r="G371">
        <v>-327.23309999999998</v>
      </c>
      <c r="H371" t="s">
        <v>423</v>
      </c>
    </row>
    <row r="372" spans="6:8" x14ac:dyDescent="0.3">
      <c r="F372" t="s">
        <v>792</v>
      </c>
      <c r="G372">
        <v>-964.19399999999996</v>
      </c>
      <c r="H372" t="s">
        <v>423</v>
      </c>
    </row>
    <row r="373" spans="6:8" x14ac:dyDescent="0.3">
      <c r="F373" t="s">
        <v>793</v>
      </c>
      <c r="G373">
        <v>-0.51479999999999992</v>
      </c>
      <c r="H373" t="s">
        <v>423</v>
      </c>
    </row>
    <row r="374" spans="6:8" x14ac:dyDescent="0.3">
      <c r="F374" t="s">
        <v>794</v>
      </c>
      <c r="G374">
        <v>1154.9614999999999</v>
      </c>
      <c r="H374" t="s">
        <v>433</v>
      </c>
    </row>
    <row r="375" spans="6:8" x14ac:dyDescent="0.3">
      <c r="F375" t="s">
        <v>795</v>
      </c>
      <c r="G375">
        <v>-319.19159999999999</v>
      </c>
      <c r="H375" t="s">
        <v>423</v>
      </c>
    </row>
    <row r="376" spans="6:8" x14ac:dyDescent="0.3">
      <c r="F376" t="s">
        <v>796</v>
      </c>
      <c r="G376">
        <v>117.16200000000001</v>
      </c>
      <c r="H376" t="s">
        <v>427</v>
      </c>
    </row>
    <row r="377" spans="6:8" x14ac:dyDescent="0.3">
      <c r="F377" t="s">
        <v>797</v>
      </c>
      <c r="G377">
        <v>22.5823</v>
      </c>
      <c r="H377" t="s">
        <v>423</v>
      </c>
    </row>
    <row r="378" spans="6:8" x14ac:dyDescent="0.3">
      <c r="F378" t="s">
        <v>798</v>
      </c>
      <c r="G378">
        <v>59.590299999999999</v>
      </c>
      <c r="H378" t="s">
        <v>423</v>
      </c>
    </row>
    <row r="379" spans="6:8" x14ac:dyDescent="0.3">
      <c r="F379" t="s">
        <v>44</v>
      </c>
      <c r="G379">
        <v>-1934.3976</v>
      </c>
      <c r="H379" t="s">
        <v>423</v>
      </c>
    </row>
    <row r="380" spans="6:8" x14ac:dyDescent="0.3">
      <c r="F380" t="s">
        <v>799</v>
      </c>
      <c r="G380">
        <v>210.47399999999999</v>
      </c>
      <c r="H380" t="s">
        <v>427</v>
      </c>
    </row>
    <row r="381" spans="6:8" x14ac:dyDescent="0.3">
      <c r="F381" t="s">
        <v>800</v>
      </c>
      <c r="G381">
        <v>135.58869999999999</v>
      </c>
      <c r="H381" t="s">
        <v>427</v>
      </c>
    </row>
    <row r="382" spans="6:8" x14ac:dyDescent="0.3">
      <c r="F382" t="s">
        <v>801</v>
      </c>
      <c r="G382">
        <v>-143.6232</v>
      </c>
      <c r="H382" t="s">
        <v>423</v>
      </c>
    </row>
    <row r="383" spans="6:8" x14ac:dyDescent="0.3">
      <c r="F383" t="s">
        <v>802</v>
      </c>
      <c r="G383">
        <v>-117.88200000000001</v>
      </c>
      <c r="H383" t="s">
        <v>423</v>
      </c>
    </row>
    <row r="384" spans="6:8" x14ac:dyDescent="0.3">
      <c r="F384" t="s">
        <v>803</v>
      </c>
      <c r="G384">
        <v>48.615600000000001</v>
      </c>
      <c r="H384" t="s">
        <v>423</v>
      </c>
    </row>
    <row r="385" spans="6:8" x14ac:dyDescent="0.3">
      <c r="F385" t="s">
        <v>804</v>
      </c>
      <c r="G385">
        <v>311.82299999999998</v>
      </c>
      <c r="H385" t="s">
        <v>427</v>
      </c>
    </row>
    <row r="386" spans="6:8" x14ac:dyDescent="0.3">
      <c r="F386" t="s">
        <v>805</v>
      </c>
      <c r="G386">
        <v>-208.65039999999999</v>
      </c>
      <c r="H386" t="s">
        <v>423</v>
      </c>
    </row>
    <row r="387" spans="6:8" x14ac:dyDescent="0.3">
      <c r="F387" t="s">
        <v>806</v>
      </c>
      <c r="G387">
        <v>24.1568</v>
      </c>
      <c r="H387" t="s">
        <v>423</v>
      </c>
    </row>
    <row r="388" spans="6:8" x14ac:dyDescent="0.3">
      <c r="F388" t="s">
        <v>807</v>
      </c>
      <c r="G388">
        <v>-12.6882</v>
      </c>
      <c r="H388" t="s">
        <v>423</v>
      </c>
    </row>
    <row r="389" spans="6:8" x14ac:dyDescent="0.3">
      <c r="F389" t="s">
        <v>808</v>
      </c>
      <c r="G389">
        <v>-56.321399999999997</v>
      </c>
      <c r="H389" t="s">
        <v>423</v>
      </c>
    </row>
    <row r="390" spans="6:8" x14ac:dyDescent="0.3">
      <c r="F390" t="s">
        <v>809</v>
      </c>
      <c r="G390">
        <v>-97.406400000000005</v>
      </c>
      <c r="H390" t="s">
        <v>423</v>
      </c>
    </row>
    <row r="391" spans="6:8" x14ac:dyDescent="0.3">
      <c r="F391" t="s">
        <v>810</v>
      </c>
      <c r="G391">
        <v>-190.85220000000001</v>
      </c>
      <c r="H391" t="s">
        <v>423</v>
      </c>
    </row>
    <row r="392" spans="6:8" x14ac:dyDescent="0.3">
      <c r="F392" t="s">
        <v>811</v>
      </c>
      <c r="G392">
        <v>73.715399999999988</v>
      </c>
      <c r="H392" t="s">
        <v>423</v>
      </c>
    </row>
    <row r="393" spans="6:8" x14ac:dyDescent="0.3">
      <c r="F393" t="s">
        <v>812</v>
      </c>
      <c r="G393">
        <v>-20.29300000000001</v>
      </c>
      <c r="H393" t="s">
        <v>423</v>
      </c>
    </row>
    <row r="394" spans="6:8" x14ac:dyDescent="0.3">
      <c r="F394" t="s">
        <v>813</v>
      </c>
      <c r="G394">
        <v>47.725700000000003</v>
      </c>
      <c r="H394" t="s">
        <v>423</v>
      </c>
    </row>
    <row r="395" spans="6:8" x14ac:dyDescent="0.3">
      <c r="F395" t="s">
        <v>814</v>
      </c>
      <c r="G395">
        <v>23.538199999999989</v>
      </c>
      <c r="H395" t="s">
        <v>423</v>
      </c>
    </row>
    <row r="396" spans="6:8" x14ac:dyDescent="0.3">
      <c r="F396" t="s">
        <v>815</v>
      </c>
      <c r="G396">
        <v>56.118400000000008</v>
      </c>
      <c r="H396" t="s">
        <v>423</v>
      </c>
    </row>
    <row r="397" spans="6:8" x14ac:dyDescent="0.3">
      <c r="F397" t="s">
        <v>816</v>
      </c>
      <c r="G397">
        <v>15.0969</v>
      </c>
      <c r="H397" t="s">
        <v>423</v>
      </c>
    </row>
    <row r="398" spans="6:8" x14ac:dyDescent="0.3">
      <c r="F398" t="s">
        <v>817</v>
      </c>
      <c r="G398">
        <v>632.2568</v>
      </c>
      <c r="H398" t="s">
        <v>433</v>
      </c>
    </row>
    <row r="399" spans="6:8" x14ac:dyDescent="0.3">
      <c r="F399" t="s">
        <v>818</v>
      </c>
      <c r="G399">
        <v>43.199100000000001</v>
      </c>
      <c r="H399" t="s">
        <v>423</v>
      </c>
    </row>
    <row r="400" spans="6:8" x14ac:dyDescent="0.3">
      <c r="F400" t="s">
        <v>819</v>
      </c>
      <c r="G400">
        <v>1691.9718</v>
      </c>
      <c r="H400" t="s">
        <v>433</v>
      </c>
    </row>
    <row r="401" spans="6:8" x14ac:dyDescent="0.3">
      <c r="F401" t="s">
        <v>820</v>
      </c>
      <c r="G401">
        <v>2799.96</v>
      </c>
      <c r="H401" t="s">
        <v>433</v>
      </c>
    </row>
    <row r="402" spans="6:8" x14ac:dyDescent="0.3">
      <c r="F402" t="s">
        <v>821</v>
      </c>
      <c r="G402">
        <v>1469.9265</v>
      </c>
      <c r="H402" t="s">
        <v>433</v>
      </c>
    </row>
    <row r="403" spans="6:8" x14ac:dyDescent="0.3">
      <c r="F403" t="s">
        <v>822</v>
      </c>
      <c r="G403">
        <v>4570.9346999999998</v>
      </c>
      <c r="H403" t="s">
        <v>433</v>
      </c>
    </row>
    <row r="404" spans="6:8" x14ac:dyDescent="0.3">
      <c r="F404" t="s">
        <v>823</v>
      </c>
      <c r="G404">
        <v>1973.9671000000001</v>
      </c>
      <c r="H404" t="s">
        <v>433</v>
      </c>
    </row>
    <row r="405" spans="6:8" x14ac:dyDescent="0.3">
      <c r="F405" t="s">
        <v>824</v>
      </c>
      <c r="G405">
        <v>67.179000000000002</v>
      </c>
      <c r="H405" t="s">
        <v>423</v>
      </c>
    </row>
    <row r="406" spans="6:8" x14ac:dyDescent="0.3">
      <c r="F406" t="s">
        <v>825</v>
      </c>
      <c r="G406">
        <v>2092.4535000000001</v>
      </c>
      <c r="H406" t="s">
        <v>433</v>
      </c>
    </row>
    <row r="407" spans="6:8" x14ac:dyDescent="0.3">
      <c r="F407" t="s">
        <v>30</v>
      </c>
      <c r="G407">
        <v>25199.928</v>
      </c>
      <c r="H407" t="s">
        <v>433</v>
      </c>
    </row>
    <row r="408" spans="6:8" x14ac:dyDescent="0.3">
      <c r="F408" t="s">
        <v>826</v>
      </c>
      <c r="G408">
        <v>1995.99</v>
      </c>
      <c r="H408" t="s">
        <v>433</v>
      </c>
    </row>
    <row r="409" spans="6:8" x14ac:dyDescent="0.3">
      <c r="F409" t="s">
        <v>827</v>
      </c>
      <c r="G409">
        <v>59.0672</v>
      </c>
      <c r="H409" t="s">
        <v>423</v>
      </c>
    </row>
    <row r="410" spans="6:8" x14ac:dyDescent="0.3">
      <c r="F410" t="s">
        <v>828</v>
      </c>
      <c r="G410">
        <v>26.506000000000011</v>
      </c>
      <c r="H410" t="s">
        <v>423</v>
      </c>
    </row>
    <row r="411" spans="6:8" x14ac:dyDescent="0.3">
      <c r="F411" t="s">
        <v>829</v>
      </c>
      <c r="G411">
        <v>4.3677000000000001</v>
      </c>
      <c r="H411" t="s">
        <v>423</v>
      </c>
    </row>
    <row r="412" spans="6:8" x14ac:dyDescent="0.3">
      <c r="F412" t="s">
        <v>830</v>
      </c>
      <c r="G412">
        <v>-12.4488</v>
      </c>
      <c r="H412" t="s">
        <v>423</v>
      </c>
    </row>
    <row r="413" spans="6:8" x14ac:dyDescent="0.3">
      <c r="F413" t="s">
        <v>831</v>
      </c>
      <c r="G413">
        <v>22.908000000000001</v>
      </c>
      <c r="H413" t="s">
        <v>423</v>
      </c>
    </row>
    <row r="414" spans="6:8" x14ac:dyDescent="0.3">
      <c r="F414" t="s">
        <v>832</v>
      </c>
      <c r="G414">
        <v>38.729599999999998</v>
      </c>
      <c r="H414" t="s">
        <v>423</v>
      </c>
    </row>
    <row r="415" spans="6:8" x14ac:dyDescent="0.3">
      <c r="F415" t="s">
        <v>833</v>
      </c>
      <c r="G415">
        <v>12.6</v>
      </c>
      <c r="H415" t="s">
        <v>423</v>
      </c>
    </row>
    <row r="416" spans="6:8" x14ac:dyDescent="0.3">
      <c r="F416" t="s">
        <v>834</v>
      </c>
      <c r="G416">
        <v>5.3877999999999986</v>
      </c>
      <c r="H416" t="s">
        <v>423</v>
      </c>
    </row>
    <row r="417" spans="6:8" x14ac:dyDescent="0.3">
      <c r="F417" t="s">
        <v>835</v>
      </c>
      <c r="G417">
        <v>46.057000000000002</v>
      </c>
      <c r="H417" t="s">
        <v>423</v>
      </c>
    </row>
    <row r="418" spans="6:8" x14ac:dyDescent="0.3">
      <c r="F418" t="s">
        <v>836</v>
      </c>
      <c r="G418">
        <v>68.951999999999998</v>
      </c>
      <c r="H418" t="s">
        <v>423</v>
      </c>
    </row>
    <row r="419" spans="6:8" x14ac:dyDescent="0.3">
      <c r="F419" t="s">
        <v>837</v>
      </c>
      <c r="G419">
        <v>-110.1328</v>
      </c>
      <c r="H419" t="s">
        <v>423</v>
      </c>
    </row>
    <row r="420" spans="6:8" x14ac:dyDescent="0.3">
      <c r="F420" t="s">
        <v>838</v>
      </c>
      <c r="G420">
        <v>-3.239200000000011</v>
      </c>
      <c r="H420" t="s">
        <v>423</v>
      </c>
    </row>
    <row r="421" spans="6:8" x14ac:dyDescent="0.3">
      <c r="F421" t="s">
        <v>839</v>
      </c>
      <c r="G421">
        <v>-121.96</v>
      </c>
      <c r="H421" t="s">
        <v>423</v>
      </c>
    </row>
    <row r="422" spans="6:8" x14ac:dyDescent="0.3">
      <c r="F422" t="s">
        <v>840</v>
      </c>
      <c r="G422">
        <v>-68.807599999999979</v>
      </c>
      <c r="H422" t="s">
        <v>423</v>
      </c>
    </row>
    <row r="423" spans="6:8" x14ac:dyDescent="0.3">
      <c r="F423" t="s">
        <v>841</v>
      </c>
      <c r="G423">
        <v>-11.997600000000009</v>
      </c>
      <c r="H423" t="s">
        <v>423</v>
      </c>
    </row>
    <row r="424" spans="6:8" x14ac:dyDescent="0.3">
      <c r="F424" t="s">
        <v>842</v>
      </c>
      <c r="G424">
        <v>-242.208</v>
      </c>
      <c r="H424" t="s">
        <v>423</v>
      </c>
    </row>
    <row r="425" spans="6:8" x14ac:dyDescent="0.3">
      <c r="F425" t="s">
        <v>843</v>
      </c>
      <c r="G425">
        <v>52.769199999999998</v>
      </c>
      <c r="H425" t="s">
        <v>423</v>
      </c>
    </row>
    <row r="426" spans="6:8" x14ac:dyDescent="0.3">
      <c r="F426" t="s">
        <v>844</v>
      </c>
      <c r="G426">
        <v>-404.00639999999999</v>
      </c>
      <c r="H426" t="s">
        <v>423</v>
      </c>
    </row>
    <row r="427" spans="6:8" x14ac:dyDescent="0.3">
      <c r="F427" t="s">
        <v>845</v>
      </c>
      <c r="G427">
        <v>-611.58780000000002</v>
      </c>
      <c r="H427" t="s">
        <v>423</v>
      </c>
    </row>
    <row r="428" spans="6:8" x14ac:dyDescent="0.3">
      <c r="F428" t="s">
        <v>43</v>
      </c>
      <c r="G428">
        <v>-2876.1156000000001</v>
      </c>
      <c r="H428" t="s">
        <v>423</v>
      </c>
    </row>
    <row r="429" spans="6:8" x14ac:dyDescent="0.3">
      <c r="F429" t="s">
        <v>846</v>
      </c>
      <c r="G429">
        <v>100.211</v>
      </c>
      <c r="H429" t="s">
        <v>427</v>
      </c>
    </row>
    <row r="430" spans="6:8" x14ac:dyDescent="0.3">
      <c r="F430" t="s">
        <v>847</v>
      </c>
      <c r="G430">
        <v>-450.24300000000011</v>
      </c>
      <c r="H430" t="s">
        <v>423</v>
      </c>
    </row>
    <row r="431" spans="6:8" x14ac:dyDescent="0.3">
      <c r="F431" t="s">
        <v>848</v>
      </c>
      <c r="G431">
        <v>-189.97610000000009</v>
      </c>
      <c r="H431" t="s">
        <v>423</v>
      </c>
    </row>
    <row r="432" spans="6:8" x14ac:dyDescent="0.3">
      <c r="F432" t="s">
        <v>849</v>
      </c>
      <c r="G432">
        <v>-164.9538</v>
      </c>
      <c r="H432" t="s">
        <v>423</v>
      </c>
    </row>
    <row r="433" spans="6:8" x14ac:dyDescent="0.3">
      <c r="F433" t="s">
        <v>850</v>
      </c>
      <c r="G433">
        <v>83.693799999999996</v>
      </c>
      <c r="H433" t="s">
        <v>423</v>
      </c>
    </row>
    <row r="434" spans="6:8" x14ac:dyDescent="0.3">
      <c r="F434" t="s">
        <v>851</v>
      </c>
      <c r="G434">
        <v>466.4</v>
      </c>
      <c r="H434" t="s">
        <v>427</v>
      </c>
    </row>
    <row r="435" spans="6:8" x14ac:dyDescent="0.3">
      <c r="F435" t="s">
        <v>852</v>
      </c>
      <c r="G435">
        <v>-55.655999999999999</v>
      </c>
      <c r="H435" t="s">
        <v>423</v>
      </c>
    </row>
    <row r="436" spans="6:8" x14ac:dyDescent="0.3">
      <c r="F436" t="s">
        <v>853</v>
      </c>
      <c r="G436">
        <v>130.20750000000001</v>
      </c>
      <c r="H436" t="s">
        <v>427</v>
      </c>
    </row>
    <row r="437" spans="6:8" x14ac:dyDescent="0.3">
      <c r="F437" t="s">
        <v>854</v>
      </c>
      <c r="G437">
        <v>-119.119</v>
      </c>
      <c r="H437" t="s">
        <v>423</v>
      </c>
    </row>
    <row r="438" spans="6:8" x14ac:dyDescent="0.3">
      <c r="F438" t="s">
        <v>855</v>
      </c>
      <c r="G438">
        <v>228.39599999999999</v>
      </c>
      <c r="H438" t="s">
        <v>427</v>
      </c>
    </row>
    <row r="439" spans="6:8" x14ac:dyDescent="0.3">
      <c r="F439" t="s">
        <v>856</v>
      </c>
      <c r="G439">
        <v>16.010999999999999</v>
      </c>
      <c r="H439" t="s">
        <v>423</v>
      </c>
    </row>
    <row r="440" spans="6:8" x14ac:dyDescent="0.3">
      <c r="F440" t="s">
        <v>857</v>
      </c>
      <c r="G440">
        <v>299.87500000000011</v>
      </c>
      <c r="H440" t="s">
        <v>427</v>
      </c>
    </row>
    <row r="441" spans="6:8" x14ac:dyDescent="0.3">
      <c r="F441" t="s">
        <v>858</v>
      </c>
      <c r="G441">
        <v>87.370499999999993</v>
      </c>
      <c r="H441" t="s">
        <v>423</v>
      </c>
    </row>
    <row r="442" spans="6:8" x14ac:dyDescent="0.3">
      <c r="F442" t="s">
        <v>859</v>
      </c>
      <c r="G442">
        <v>904.74199999999996</v>
      </c>
      <c r="H442" t="s">
        <v>433</v>
      </c>
    </row>
    <row r="443" spans="6:8" x14ac:dyDescent="0.3">
      <c r="F443" t="s">
        <v>860</v>
      </c>
      <c r="G443">
        <v>207.86850000000001</v>
      </c>
      <c r="H443" t="s">
        <v>427</v>
      </c>
    </row>
    <row r="444" spans="6:8" x14ac:dyDescent="0.3">
      <c r="F444" t="s">
        <v>861</v>
      </c>
      <c r="G444">
        <v>648.56240000000003</v>
      </c>
      <c r="H444" t="s">
        <v>433</v>
      </c>
    </row>
    <row r="445" spans="6:8" x14ac:dyDescent="0.3">
      <c r="F445" t="s">
        <v>862</v>
      </c>
      <c r="G445">
        <v>43.091999999999999</v>
      </c>
      <c r="H445" t="s">
        <v>423</v>
      </c>
    </row>
    <row r="446" spans="6:8" x14ac:dyDescent="0.3">
      <c r="F446" t="s">
        <v>863</v>
      </c>
      <c r="G446">
        <v>58.4649</v>
      </c>
      <c r="H446" t="s">
        <v>423</v>
      </c>
    </row>
    <row r="447" spans="6:8" x14ac:dyDescent="0.3">
      <c r="F447" t="s">
        <v>32</v>
      </c>
      <c r="G447">
        <v>-1811.0784000000001</v>
      </c>
      <c r="H447" t="s">
        <v>423</v>
      </c>
    </row>
    <row r="448" spans="6:8" x14ac:dyDescent="0.3">
      <c r="F448" t="s">
        <v>864</v>
      </c>
      <c r="G448">
        <v>102.297</v>
      </c>
      <c r="H448" t="s">
        <v>427</v>
      </c>
    </row>
    <row r="449" spans="6:8" x14ac:dyDescent="0.3">
      <c r="F449" t="s">
        <v>865</v>
      </c>
      <c r="G449">
        <v>68.629600000000011</v>
      </c>
      <c r="H449" t="s">
        <v>423</v>
      </c>
    </row>
    <row r="450" spans="6:8" x14ac:dyDescent="0.3">
      <c r="F450" t="s">
        <v>866</v>
      </c>
      <c r="G450">
        <v>40.195999999999998</v>
      </c>
      <c r="H450" t="s">
        <v>423</v>
      </c>
    </row>
    <row r="451" spans="6:8" x14ac:dyDescent="0.3">
      <c r="F451" t="s">
        <v>867</v>
      </c>
      <c r="G451">
        <v>90.272699999999986</v>
      </c>
      <c r="H451" t="s">
        <v>423</v>
      </c>
    </row>
    <row r="452" spans="6:8" x14ac:dyDescent="0.3">
      <c r="F452" t="s">
        <v>868</v>
      </c>
      <c r="G452">
        <v>1053.9829999999999</v>
      </c>
      <c r="H452" t="s">
        <v>433</v>
      </c>
    </row>
    <row r="453" spans="6:8" x14ac:dyDescent="0.3">
      <c r="F453" t="s">
        <v>869</v>
      </c>
      <c r="G453">
        <v>273.46280000000002</v>
      </c>
      <c r="H453" t="s">
        <v>427</v>
      </c>
    </row>
    <row r="454" spans="6:8" x14ac:dyDescent="0.3">
      <c r="F454" t="s">
        <v>870</v>
      </c>
      <c r="G454">
        <v>162.3768</v>
      </c>
      <c r="H454" t="s">
        <v>427</v>
      </c>
    </row>
    <row r="455" spans="6:8" x14ac:dyDescent="0.3">
      <c r="F455" t="s">
        <v>871</v>
      </c>
      <c r="G455">
        <v>-48.832599999999999</v>
      </c>
      <c r="H455" t="s">
        <v>423</v>
      </c>
    </row>
    <row r="456" spans="6:8" x14ac:dyDescent="0.3">
      <c r="F456" t="s">
        <v>872</v>
      </c>
      <c r="G456">
        <v>7.4784000000000006</v>
      </c>
      <c r="H456" t="s">
        <v>423</v>
      </c>
    </row>
    <row r="457" spans="6:8" x14ac:dyDescent="0.3">
      <c r="F457" t="s">
        <v>873</v>
      </c>
      <c r="G457">
        <v>7.2176999999999998</v>
      </c>
      <c r="H457" t="s">
        <v>423</v>
      </c>
    </row>
    <row r="458" spans="6:8" x14ac:dyDescent="0.3">
      <c r="F458" t="s">
        <v>874</v>
      </c>
      <c r="G458">
        <v>19.040400000000002</v>
      </c>
      <c r="H458" t="s">
        <v>423</v>
      </c>
    </row>
    <row r="459" spans="6:8" x14ac:dyDescent="0.3">
      <c r="F459" t="s">
        <v>875</v>
      </c>
      <c r="G459">
        <v>7.6020000000000012</v>
      </c>
      <c r="H459" t="s">
        <v>423</v>
      </c>
    </row>
    <row r="460" spans="6:8" x14ac:dyDescent="0.3">
      <c r="F460" t="s">
        <v>876</v>
      </c>
      <c r="G460">
        <v>116.298</v>
      </c>
      <c r="H460" t="s">
        <v>427</v>
      </c>
    </row>
    <row r="461" spans="6:8" x14ac:dyDescent="0.3">
      <c r="F461" t="s">
        <v>877</v>
      </c>
      <c r="G461">
        <v>11.3004</v>
      </c>
      <c r="H461" t="s">
        <v>423</v>
      </c>
    </row>
    <row r="462" spans="6:8" x14ac:dyDescent="0.3">
      <c r="F462" t="s">
        <v>878</v>
      </c>
      <c r="G462">
        <v>1.633800000000001</v>
      </c>
      <c r="H462" t="s">
        <v>423</v>
      </c>
    </row>
    <row r="463" spans="6:8" x14ac:dyDescent="0.3">
      <c r="F463" t="s">
        <v>879</v>
      </c>
      <c r="G463">
        <v>-57.268800000000013</v>
      </c>
      <c r="H463" t="s">
        <v>423</v>
      </c>
    </row>
    <row r="464" spans="6:8" x14ac:dyDescent="0.3">
      <c r="F464" t="s">
        <v>880</v>
      </c>
      <c r="G464">
        <v>149.52959999999999</v>
      </c>
      <c r="H464" t="s">
        <v>427</v>
      </c>
    </row>
    <row r="465" spans="6:8" x14ac:dyDescent="0.3">
      <c r="F465" t="s">
        <v>881</v>
      </c>
      <c r="G465">
        <v>-2.016</v>
      </c>
      <c r="H465" t="s">
        <v>423</v>
      </c>
    </row>
    <row r="466" spans="6:8" x14ac:dyDescent="0.3">
      <c r="F466" t="s">
        <v>882</v>
      </c>
      <c r="G466">
        <v>91.968000000000004</v>
      </c>
      <c r="H466" t="s">
        <v>423</v>
      </c>
    </row>
    <row r="467" spans="6:8" x14ac:dyDescent="0.3">
      <c r="F467" t="s">
        <v>883</v>
      </c>
      <c r="G467">
        <v>169.2124</v>
      </c>
      <c r="H467" t="s">
        <v>427</v>
      </c>
    </row>
    <row r="468" spans="6:8" x14ac:dyDescent="0.3">
      <c r="F468" t="s">
        <v>884</v>
      </c>
      <c r="G468">
        <v>179.28960000000001</v>
      </c>
      <c r="H468" t="s">
        <v>427</v>
      </c>
    </row>
    <row r="469" spans="6:8" x14ac:dyDescent="0.3">
      <c r="F469" t="s">
        <v>885</v>
      </c>
      <c r="G469">
        <v>61.516800000000003</v>
      </c>
      <c r="H469" t="s">
        <v>423</v>
      </c>
    </row>
    <row r="470" spans="6:8" x14ac:dyDescent="0.3">
      <c r="F470" t="s">
        <v>886</v>
      </c>
      <c r="G470">
        <v>3.6162000000000001</v>
      </c>
      <c r="H470" t="s">
        <v>423</v>
      </c>
    </row>
    <row r="471" spans="6:8" x14ac:dyDescent="0.3">
      <c r="F471" t="s">
        <v>887</v>
      </c>
      <c r="G471">
        <v>4.847999999999999</v>
      </c>
      <c r="H471" t="s">
        <v>423</v>
      </c>
    </row>
    <row r="472" spans="6:8" x14ac:dyDescent="0.3">
      <c r="F472" t="s">
        <v>888</v>
      </c>
      <c r="G472">
        <v>-57.372</v>
      </c>
      <c r="H472" t="s">
        <v>423</v>
      </c>
    </row>
    <row r="473" spans="6:8" x14ac:dyDescent="0.3">
      <c r="F473" t="s">
        <v>889</v>
      </c>
      <c r="G473">
        <v>29.453199999999999</v>
      </c>
      <c r="H473" t="s">
        <v>423</v>
      </c>
    </row>
    <row r="474" spans="6:8" x14ac:dyDescent="0.3">
      <c r="F474" t="s">
        <v>890</v>
      </c>
      <c r="G474">
        <v>24.109200000000001</v>
      </c>
      <c r="H474" t="s">
        <v>423</v>
      </c>
    </row>
    <row r="475" spans="6:8" x14ac:dyDescent="0.3">
      <c r="F475" t="s">
        <v>891</v>
      </c>
      <c r="G475">
        <v>31.391999999999999</v>
      </c>
      <c r="H475" t="s">
        <v>423</v>
      </c>
    </row>
    <row r="476" spans="6:8" x14ac:dyDescent="0.3">
      <c r="F476" t="s">
        <v>892</v>
      </c>
      <c r="G476">
        <v>24.661000000000001</v>
      </c>
      <c r="H476" t="s">
        <v>423</v>
      </c>
    </row>
    <row r="477" spans="6:8" x14ac:dyDescent="0.3">
      <c r="F477" t="s">
        <v>893</v>
      </c>
      <c r="G477">
        <v>32.799999999999997</v>
      </c>
      <c r="H477" t="s">
        <v>423</v>
      </c>
    </row>
    <row r="478" spans="6:8" x14ac:dyDescent="0.3">
      <c r="F478" t="s">
        <v>40</v>
      </c>
      <c r="G478">
        <v>-8879.9704000000002</v>
      </c>
      <c r="H478" t="s">
        <v>423</v>
      </c>
    </row>
    <row r="479" spans="6:8" x14ac:dyDescent="0.3">
      <c r="F479" t="s">
        <v>42</v>
      </c>
      <c r="G479">
        <v>-3839.9904000000001</v>
      </c>
      <c r="H479" t="s">
        <v>423</v>
      </c>
    </row>
    <row r="480" spans="6:8" x14ac:dyDescent="0.3">
      <c r="F480" t="s">
        <v>894</v>
      </c>
      <c r="G480">
        <v>3.9104999999999999</v>
      </c>
      <c r="H480" t="s">
        <v>423</v>
      </c>
    </row>
    <row r="481" spans="6:8" x14ac:dyDescent="0.3">
      <c r="F481" t="s">
        <v>895</v>
      </c>
      <c r="G481">
        <v>-20.5242</v>
      </c>
      <c r="H481" t="s">
        <v>423</v>
      </c>
    </row>
    <row r="482" spans="6:8" x14ac:dyDescent="0.3">
      <c r="F482" t="s">
        <v>896</v>
      </c>
      <c r="G482">
        <v>61.433599999999998</v>
      </c>
      <c r="H482" t="s">
        <v>423</v>
      </c>
    </row>
    <row r="483" spans="6:8" x14ac:dyDescent="0.3">
      <c r="F483" t="s">
        <v>897</v>
      </c>
      <c r="G483">
        <v>48.822000000000003</v>
      </c>
      <c r="H483" t="s">
        <v>423</v>
      </c>
    </row>
    <row r="484" spans="6:8" x14ac:dyDescent="0.3">
      <c r="F484" t="s">
        <v>898</v>
      </c>
      <c r="G484">
        <v>27.702000000000002</v>
      </c>
      <c r="H484" t="s">
        <v>423</v>
      </c>
    </row>
    <row r="485" spans="6:8" x14ac:dyDescent="0.3">
      <c r="F485" t="s">
        <v>899</v>
      </c>
      <c r="G485">
        <v>97.152000000000001</v>
      </c>
      <c r="H485" t="s">
        <v>423</v>
      </c>
    </row>
    <row r="486" spans="6:8" x14ac:dyDescent="0.3">
      <c r="F486" t="s">
        <v>900</v>
      </c>
      <c r="G486">
        <v>39.752799999999993</v>
      </c>
      <c r="H486" t="s">
        <v>423</v>
      </c>
    </row>
    <row r="487" spans="6:8" x14ac:dyDescent="0.3">
      <c r="F487" t="s">
        <v>901</v>
      </c>
      <c r="G487">
        <v>20.771999999999998</v>
      </c>
      <c r="H487" t="s">
        <v>423</v>
      </c>
    </row>
    <row r="488" spans="6:8" x14ac:dyDescent="0.3">
      <c r="F488" t="s">
        <v>902</v>
      </c>
      <c r="G488">
        <v>52.448399999999999</v>
      </c>
      <c r="H488" t="s">
        <v>423</v>
      </c>
    </row>
    <row r="489" spans="6:8" x14ac:dyDescent="0.3">
      <c r="F489" t="s">
        <v>903</v>
      </c>
      <c r="G489">
        <v>55.1004</v>
      </c>
      <c r="H489" t="s">
        <v>423</v>
      </c>
    </row>
    <row r="490" spans="6:8" x14ac:dyDescent="0.3">
      <c r="F490" t="s">
        <v>904</v>
      </c>
      <c r="G490">
        <v>26.1096</v>
      </c>
      <c r="H490" t="s">
        <v>423</v>
      </c>
    </row>
    <row r="491" spans="6:8" x14ac:dyDescent="0.3">
      <c r="F491" t="s">
        <v>905</v>
      </c>
      <c r="G491">
        <v>123.9264</v>
      </c>
      <c r="H491" t="s">
        <v>427</v>
      </c>
    </row>
    <row r="492" spans="6:8" x14ac:dyDescent="0.3">
      <c r="F492" t="s">
        <v>906</v>
      </c>
      <c r="G492">
        <v>33.3157</v>
      </c>
      <c r="H492" t="s">
        <v>423</v>
      </c>
    </row>
    <row r="493" spans="6:8" x14ac:dyDescent="0.3">
      <c r="F493" t="s">
        <v>907</v>
      </c>
      <c r="G493">
        <v>73.944000000000003</v>
      </c>
      <c r="H493" t="s">
        <v>423</v>
      </c>
    </row>
    <row r="494" spans="6:8" x14ac:dyDescent="0.3">
      <c r="F494" t="s">
        <v>908</v>
      </c>
      <c r="G494">
        <v>84.805600000000013</v>
      </c>
      <c r="H494" t="s">
        <v>423</v>
      </c>
    </row>
    <row r="495" spans="6:8" x14ac:dyDescent="0.3">
      <c r="F495" t="s">
        <v>909</v>
      </c>
      <c r="G495">
        <v>52.483199999999997</v>
      </c>
      <c r="H495" t="s">
        <v>423</v>
      </c>
    </row>
    <row r="496" spans="6:8" x14ac:dyDescent="0.3">
      <c r="F496" t="s">
        <v>910</v>
      </c>
      <c r="G496">
        <v>126.316</v>
      </c>
      <c r="H496" t="s">
        <v>427</v>
      </c>
    </row>
    <row r="497" spans="6:8" x14ac:dyDescent="0.3">
      <c r="F497" t="s">
        <v>911</v>
      </c>
      <c r="G497">
        <v>7.6888000000000014</v>
      </c>
      <c r="H497" t="s">
        <v>423</v>
      </c>
    </row>
    <row r="498" spans="6:8" x14ac:dyDescent="0.3">
      <c r="F498" t="s">
        <v>912</v>
      </c>
      <c r="G498">
        <v>8.6171999999999986</v>
      </c>
      <c r="H498" t="s">
        <v>423</v>
      </c>
    </row>
    <row r="499" spans="6:8" x14ac:dyDescent="0.3">
      <c r="F499" t="s">
        <v>913</v>
      </c>
      <c r="G499">
        <v>26.78400000000001</v>
      </c>
      <c r="H499" t="s">
        <v>423</v>
      </c>
    </row>
    <row r="500" spans="6:8" x14ac:dyDescent="0.3">
      <c r="F500" t="s">
        <v>914</v>
      </c>
      <c r="G500">
        <v>486.15559999999999</v>
      </c>
      <c r="H500" t="s">
        <v>427</v>
      </c>
    </row>
    <row r="501" spans="6:8" x14ac:dyDescent="0.3">
      <c r="F501" t="s">
        <v>915</v>
      </c>
      <c r="G501">
        <v>90.176400000000015</v>
      </c>
      <c r="H501" t="s">
        <v>423</v>
      </c>
    </row>
    <row r="502" spans="6:8" x14ac:dyDescent="0.3">
      <c r="F502" t="s">
        <v>916</v>
      </c>
      <c r="G502">
        <v>66.691499999999991</v>
      </c>
      <c r="H502" t="s">
        <v>423</v>
      </c>
    </row>
    <row r="503" spans="6:8" x14ac:dyDescent="0.3">
      <c r="F503" t="s">
        <v>917</v>
      </c>
      <c r="G503">
        <v>42.049799999999998</v>
      </c>
      <c r="H503" t="s">
        <v>423</v>
      </c>
    </row>
    <row r="504" spans="6:8" x14ac:dyDescent="0.3">
      <c r="F504" t="s">
        <v>918</v>
      </c>
      <c r="G504">
        <v>463.971</v>
      </c>
      <c r="H504" t="s">
        <v>427</v>
      </c>
    </row>
    <row r="505" spans="6:8" x14ac:dyDescent="0.3">
      <c r="F505" t="s">
        <v>919</v>
      </c>
      <c r="G505">
        <v>81.567999999999998</v>
      </c>
      <c r="H505" t="s">
        <v>423</v>
      </c>
    </row>
    <row r="506" spans="6:8" x14ac:dyDescent="0.3">
      <c r="F506" t="s">
        <v>920</v>
      </c>
      <c r="G506">
        <v>288.42880000000002</v>
      </c>
      <c r="H506" t="s">
        <v>427</v>
      </c>
    </row>
    <row r="507" spans="6:8" x14ac:dyDescent="0.3">
      <c r="F507" t="s">
        <v>921</v>
      </c>
      <c r="G507">
        <v>-11.214</v>
      </c>
      <c r="H507" t="s">
        <v>423</v>
      </c>
    </row>
    <row r="508" spans="6:8" x14ac:dyDescent="0.3">
      <c r="F508" t="s">
        <v>922</v>
      </c>
      <c r="G508">
        <v>99.580799999999996</v>
      </c>
      <c r="H508" t="s">
        <v>423</v>
      </c>
    </row>
    <row r="509" spans="6:8" x14ac:dyDescent="0.3">
      <c r="F509" t="s">
        <v>923</v>
      </c>
      <c r="G509">
        <v>15.364800000000001</v>
      </c>
      <c r="H509" t="s">
        <v>423</v>
      </c>
    </row>
    <row r="510" spans="6:8" x14ac:dyDescent="0.3">
      <c r="F510" t="s">
        <v>924</v>
      </c>
      <c r="G510">
        <v>12.0276</v>
      </c>
      <c r="H510" t="s">
        <v>423</v>
      </c>
    </row>
    <row r="511" spans="6:8" x14ac:dyDescent="0.3">
      <c r="F511" t="s">
        <v>925</v>
      </c>
      <c r="G511">
        <v>124.131</v>
      </c>
      <c r="H511" t="s">
        <v>427</v>
      </c>
    </row>
    <row r="512" spans="6:8" x14ac:dyDescent="0.3">
      <c r="F512" t="s">
        <v>926</v>
      </c>
      <c r="G512">
        <v>37.036999999999999</v>
      </c>
      <c r="H512" t="s">
        <v>423</v>
      </c>
    </row>
    <row r="513" spans="6:8" x14ac:dyDescent="0.3">
      <c r="F513" t="s">
        <v>927</v>
      </c>
      <c r="G513">
        <v>244.3888</v>
      </c>
      <c r="H513" t="s">
        <v>427</v>
      </c>
    </row>
    <row r="514" spans="6:8" x14ac:dyDescent="0.3">
      <c r="F514" t="s">
        <v>928</v>
      </c>
      <c r="G514">
        <v>72.078499999999991</v>
      </c>
      <c r="H514" t="s">
        <v>423</v>
      </c>
    </row>
    <row r="515" spans="6:8" x14ac:dyDescent="0.3">
      <c r="F515" t="s">
        <v>929</v>
      </c>
      <c r="G515">
        <v>123.96</v>
      </c>
      <c r="H515" t="s">
        <v>427</v>
      </c>
    </row>
    <row r="516" spans="6:8" x14ac:dyDescent="0.3">
      <c r="F516" t="s">
        <v>930</v>
      </c>
      <c r="G516">
        <v>-125.1996</v>
      </c>
      <c r="H516" t="s">
        <v>423</v>
      </c>
    </row>
    <row r="517" spans="6:8" x14ac:dyDescent="0.3">
      <c r="F517" t="s">
        <v>931</v>
      </c>
      <c r="G517">
        <v>318.36160000000001</v>
      </c>
      <c r="H517" t="s">
        <v>427</v>
      </c>
    </row>
    <row r="518" spans="6:8" x14ac:dyDescent="0.3">
      <c r="F518" t="s">
        <v>932</v>
      </c>
      <c r="G518">
        <v>-343.09559999999999</v>
      </c>
      <c r="H518" t="s">
        <v>423</v>
      </c>
    </row>
    <row r="519" spans="6:8" x14ac:dyDescent="0.3">
      <c r="F519" t="s">
        <v>933</v>
      </c>
      <c r="G519">
        <v>138.31319999999999</v>
      </c>
      <c r="H519" t="s">
        <v>427</v>
      </c>
    </row>
    <row r="520" spans="6:8" x14ac:dyDescent="0.3">
      <c r="F520" t="s">
        <v>934</v>
      </c>
      <c r="G520">
        <v>30</v>
      </c>
      <c r="H520" t="s">
        <v>423</v>
      </c>
    </row>
    <row r="521" spans="6:8" x14ac:dyDescent="0.3">
      <c r="F521" t="s">
        <v>935</v>
      </c>
      <c r="G521">
        <v>76.460999999999999</v>
      </c>
      <c r="H521" t="s">
        <v>423</v>
      </c>
    </row>
    <row r="522" spans="6:8" x14ac:dyDescent="0.3">
      <c r="F522" t="s">
        <v>936</v>
      </c>
      <c r="G522">
        <v>88.242000000000004</v>
      </c>
      <c r="H522" t="s">
        <v>423</v>
      </c>
    </row>
    <row r="523" spans="6:8" x14ac:dyDescent="0.3">
      <c r="F523" t="s">
        <v>937</v>
      </c>
      <c r="G523">
        <v>1380.7216000000001</v>
      </c>
      <c r="H523" t="s">
        <v>433</v>
      </c>
    </row>
    <row r="524" spans="6:8" x14ac:dyDescent="0.3">
      <c r="F524" t="s">
        <v>938</v>
      </c>
      <c r="G524">
        <v>2.3073999999999999</v>
      </c>
      <c r="H524" t="s">
        <v>423</v>
      </c>
    </row>
    <row r="525" spans="6:8" x14ac:dyDescent="0.3">
      <c r="F525" t="s">
        <v>939</v>
      </c>
      <c r="G525">
        <v>59.510000000000012</v>
      </c>
      <c r="H525" t="s">
        <v>423</v>
      </c>
    </row>
    <row r="526" spans="6:8" x14ac:dyDescent="0.3">
      <c r="F526" t="s">
        <v>940</v>
      </c>
      <c r="G526">
        <v>-14.6225</v>
      </c>
      <c r="H526" t="s">
        <v>423</v>
      </c>
    </row>
    <row r="527" spans="6:8" x14ac:dyDescent="0.3">
      <c r="F527" t="s">
        <v>941</v>
      </c>
      <c r="G527">
        <v>571.42570000000001</v>
      </c>
      <c r="H527" t="s">
        <v>433</v>
      </c>
    </row>
    <row r="528" spans="6:8" x14ac:dyDescent="0.3">
      <c r="F528" t="s">
        <v>942</v>
      </c>
      <c r="G528">
        <v>11.362</v>
      </c>
      <c r="H528" t="s">
        <v>423</v>
      </c>
    </row>
    <row r="529" spans="6:8" x14ac:dyDescent="0.3">
      <c r="F529" t="s">
        <v>943</v>
      </c>
      <c r="G529">
        <v>17.023499999999999</v>
      </c>
      <c r="H529" t="s">
        <v>423</v>
      </c>
    </row>
    <row r="530" spans="6:8" x14ac:dyDescent="0.3">
      <c r="F530" t="s">
        <v>944</v>
      </c>
      <c r="G530">
        <v>42.898200000000003</v>
      </c>
      <c r="H530" t="s">
        <v>423</v>
      </c>
    </row>
    <row r="531" spans="6:8" x14ac:dyDescent="0.3">
      <c r="F531" t="s">
        <v>945</v>
      </c>
      <c r="G531">
        <v>58.668400000000013</v>
      </c>
      <c r="H531" t="s">
        <v>423</v>
      </c>
    </row>
    <row r="532" spans="6:8" x14ac:dyDescent="0.3">
      <c r="F532" t="s">
        <v>946</v>
      </c>
      <c r="G532">
        <v>165.20599999999999</v>
      </c>
      <c r="H532" t="s">
        <v>427</v>
      </c>
    </row>
    <row r="533" spans="6:8" x14ac:dyDescent="0.3">
      <c r="F533" t="s">
        <v>947</v>
      </c>
      <c r="G533">
        <v>20.0928</v>
      </c>
      <c r="H533" t="s">
        <v>423</v>
      </c>
    </row>
    <row r="534" spans="6:8" x14ac:dyDescent="0.3">
      <c r="F534" t="s">
        <v>948</v>
      </c>
      <c r="G534">
        <v>4.9120000000000008</v>
      </c>
      <c r="H534" t="s">
        <v>423</v>
      </c>
    </row>
    <row r="535" spans="6:8" x14ac:dyDescent="0.3">
      <c r="F535" t="s">
        <v>949</v>
      </c>
      <c r="G535">
        <v>9.2678000000000011</v>
      </c>
      <c r="H535" t="s">
        <v>423</v>
      </c>
    </row>
    <row r="536" spans="6:8" x14ac:dyDescent="0.3">
      <c r="F536" t="s">
        <v>950</v>
      </c>
      <c r="G536">
        <v>16.012799999999999</v>
      </c>
      <c r="H536" t="s">
        <v>423</v>
      </c>
    </row>
    <row r="537" spans="6:8" x14ac:dyDescent="0.3">
      <c r="F537" t="s">
        <v>951</v>
      </c>
      <c r="G537">
        <v>1517.9064000000001</v>
      </c>
      <c r="H537" t="s">
        <v>433</v>
      </c>
    </row>
    <row r="538" spans="6:8" x14ac:dyDescent="0.3">
      <c r="F538" t="s">
        <v>952</v>
      </c>
      <c r="G538">
        <v>1640.5347999999999</v>
      </c>
      <c r="H538" t="s">
        <v>433</v>
      </c>
    </row>
    <row r="539" spans="6:8" x14ac:dyDescent="0.3">
      <c r="F539" t="s">
        <v>953</v>
      </c>
      <c r="G539">
        <v>15.086</v>
      </c>
      <c r="H539" t="s">
        <v>423</v>
      </c>
    </row>
    <row r="540" spans="6:8" x14ac:dyDescent="0.3">
      <c r="F540" t="s">
        <v>954</v>
      </c>
      <c r="G540">
        <v>1096.0291999999999</v>
      </c>
      <c r="H540" t="s">
        <v>433</v>
      </c>
    </row>
    <row r="541" spans="6:8" x14ac:dyDescent="0.3">
      <c r="F541" t="s">
        <v>955</v>
      </c>
      <c r="G541">
        <v>492.66239999999999</v>
      </c>
      <c r="H541" t="s">
        <v>427</v>
      </c>
    </row>
    <row r="542" spans="6:8" x14ac:dyDescent="0.3">
      <c r="F542" t="s">
        <v>956</v>
      </c>
      <c r="G542">
        <v>28.271999999999998</v>
      </c>
      <c r="H542" t="s">
        <v>423</v>
      </c>
    </row>
    <row r="543" spans="6:8" x14ac:dyDescent="0.3">
      <c r="F543" t="s">
        <v>957</v>
      </c>
      <c r="G543">
        <v>21.6</v>
      </c>
      <c r="H543" t="s">
        <v>423</v>
      </c>
    </row>
    <row r="544" spans="6:8" x14ac:dyDescent="0.3">
      <c r="F544" t="s">
        <v>958</v>
      </c>
      <c r="G544">
        <v>8.9908000000000001</v>
      </c>
      <c r="H544" t="s">
        <v>423</v>
      </c>
    </row>
    <row r="545" spans="6:8" x14ac:dyDescent="0.3">
      <c r="F545" t="s">
        <v>959</v>
      </c>
      <c r="G545">
        <v>9.7967999999999993</v>
      </c>
      <c r="H545" t="s">
        <v>423</v>
      </c>
    </row>
    <row r="546" spans="6:8" x14ac:dyDescent="0.3">
      <c r="F546" t="s">
        <v>960</v>
      </c>
      <c r="G546">
        <v>693.83999999999992</v>
      </c>
      <c r="H546" t="s">
        <v>433</v>
      </c>
    </row>
    <row r="547" spans="6:8" x14ac:dyDescent="0.3">
      <c r="F547" t="s">
        <v>961</v>
      </c>
      <c r="G547">
        <v>-267.44959999999998</v>
      </c>
      <c r="H547" t="s">
        <v>423</v>
      </c>
    </row>
    <row r="548" spans="6:8" x14ac:dyDescent="0.3">
      <c r="F548" t="s">
        <v>962</v>
      </c>
      <c r="G548">
        <v>-4.8528000000000011</v>
      </c>
      <c r="H548" t="s">
        <v>423</v>
      </c>
    </row>
    <row r="549" spans="6:8" x14ac:dyDescent="0.3">
      <c r="F549" t="s">
        <v>963</v>
      </c>
      <c r="G549">
        <v>39.18719999999999</v>
      </c>
      <c r="H549" t="s">
        <v>423</v>
      </c>
    </row>
    <row r="550" spans="6:8" x14ac:dyDescent="0.3">
      <c r="F550" t="s">
        <v>964</v>
      </c>
      <c r="G550">
        <v>28.636800000000001</v>
      </c>
      <c r="H550" t="s">
        <v>423</v>
      </c>
    </row>
    <row r="551" spans="6:8" x14ac:dyDescent="0.3">
      <c r="F551" t="s">
        <v>965</v>
      </c>
      <c r="G551">
        <v>44.588000000000001</v>
      </c>
      <c r="H551" t="s">
        <v>423</v>
      </c>
    </row>
    <row r="552" spans="6:8" x14ac:dyDescent="0.3">
      <c r="F552" t="s">
        <v>966</v>
      </c>
      <c r="G552">
        <v>58.027200000000001</v>
      </c>
      <c r="H552" t="s">
        <v>423</v>
      </c>
    </row>
    <row r="553" spans="6:8" x14ac:dyDescent="0.3">
      <c r="F553" t="s">
        <v>967</v>
      </c>
      <c r="G553">
        <v>13.068</v>
      </c>
      <c r="H553" t="s">
        <v>423</v>
      </c>
    </row>
    <row r="554" spans="6:8" x14ac:dyDescent="0.3">
      <c r="F554" t="s">
        <v>968</v>
      </c>
      <c r="G554">
        <v>47.6</v>
      </c>
      <c r="H554" t="s">
        <v>423</v>
      </c>
    </row>
    <row r="555" spans="6:8" x14ac:dyDescent="0.3">
      <c r="F555" t="s">
        <v>969</v>
      </c>
      <c r="G555">
        <v>60.470699999999987</v>
      </c>
      <c r="H555" t="s">
        <v>423</v>
      </c>
    </row>
    <row r="556" spans="6:8" x14ac:dyDescent="0.3">
      <c r="F556" t="s">
        <v>970</v>
      </c>
      <c r="G556">
        <v>56.302999999999997</v>
      </c>
      <c r="H556" t="s">
        <v>423</v>
      </c>
    </row>
    <row r="557" spans="6:8" x14ac:dyDescent="0.3">
      <c r="F557" t="s">
        <v>971</v>
      </c>
      <c r="G557">
        <v>-48.78</v>
      </c>
      <c r="H557" t="s">
        <v>423</v>
      </c>
    </row>
    <row r="558" spans="6:8" x14ac:dyDescent="0.3">
      <c r="F558" t="s">
        <v>972</v>
      </c>
      <c r="G558">
        <v>46.327599999999997</v>
      </c>
      <c r="H558" t="s">
        <v>423</v>
      </c>
    </row>
    <row r="559" spans="6:8" x14ac:dyDescent="0.3">
      <c r="F559" t="s">
        <v>973</v>
      </c>
      <c r="G559">
        <v>-52.569000000000003</v>
      </c>
      <c r="H559" t="s">
        <v>423</v>
      </c>
    </row>
    <row r="560" spans="6:8" x14ac:dyDescent="0.3">
      <c r="F560" t="s">
        <v>974</v>
      </c>
      <c r="G560">
        <v>-42.180000000000007</v>
      </c>
      <c r="H560" t="s">
        <v>423</v>
      </c>
    </row>
    <row r="561" spans="6:8" x14ac:dyDescent="0.3">
      <c r="F561" t="s">
        <v>975</v>
      </c>
      <c r="G561">
        <v>-111.328</v>
      </c>
      <c r="H561" t="s">
        <v>423</v>
      </c>
    </row>
    <row r="562" spans="6:8" x14ac:dyDescent="0.3">
      <c r="F562" t="s">
        <v>976</v>
      </c>
      <c r="G562">
        <v>-256.56360000000001</v>
      </c>
      <c r="H562" t="s">
        <v>423</v>
      </c>
    </row>
    <row r="563" spans="6:8" x14ac:dyDescent="0.3">
      <c r="F563" t="s">
        <v>977</v>
      </c>
      <c r="G563">
        <v>17.447800000000001</v>
      </c>
      <c r="H563" t="s">
        <v>423</v>
      </c>
    </row>
    <row r="564" spans="6:8" x14ac:dyDescent="0.3">
      <c r="F564" t="s">
        <v>978</v>
      </c>
      <c r="G564">
        <v>39.811199999999999</v>
      </c>
      <c r="H564" t="s">
        <v>423</v>
      </c>
    </row>
    <row r="565" spans="6:8" x14ac:dyDescent="0.3">
      <c r="F565" t="s">
        <v>979</v>
      </c>
      <c r="G565">
        <v>-78.508799999999994</v>
      </c>
      <c r="H565" t="s">
        <v>423</v>
      </c>
    </row>
    <row r="566" spans="6:8" x14ac:dyDescent="0.3">
      <c r="F566" t="s">
        <v>980</v>
      </c>
      <c r="G566">
        <v>50.008699999999997</v>
      </c>
      <c r="H566" t="s">
        <v>423</v>
      </c>
    </row>
    <row r="567" spans="6:8" x14ac:dyDescent="0.3">
      <c r="F567" t="s">
        <v>981</v>
      </c>
      <c r="G567">
        <v>6.7550000000000008</v>
      </c>
      <c r="H567" t="s">
        <v>423</v>
      </c>
    </row>
    <row r="568" spans="6:8" x14ac:dyDescent="0.3">
      <c r="F568" t="s">
        <v>982</v>
      </c>
      <c r="G568">
        <v>-7.6160000000000032</v>
      </c>
      <c r="H568" t="s">
        <v>423</v>
      </c>
    </row>
    <row r="569" spans="6:8" x14ac:dyDescent="0.3">
      <c r="F569" t="s">
        <v>983</v>
      </c>
      <c r="G569">
        <v>23.4</v>
      </c>
      <c r="H569" t="s">
        <v>423</v>
      </c>
    </row>
    <row r="570" spans="6:8" x14ac:dyDescent="0.3">
      <c r="F570" t="s">
        <v>984</v>
      </c>
      <c r="G570">
        <v>20.635999999999999</v>
      </c>
      <c r="H570" t="s">
        <v>423</v>
      </c>
    </row>
    <row r="571" spans="6:8" x14ac:dyDescent="0.3">
      <c r="F571" t="s">
        <v>985</v>
      </c>
      <c r="G571">
        <v>21.7056</v>
      </c>
      <c r="H571" t="s">
        <v>423</v>
      </c>
    </row>
    <row r="572" spans="6:8" x14ac:dyDescent="0.3">
      <c r="F572" t="s">
        <v>986</v>
      </c>
      <c r="G572">
        <v>10.1106</v>
      </c>
      <c r="H572" t="s">
        <v>423</v>
      </c>
    </row>
    <row r="573" spans="6:8" x14ac:dyDescent="0.3">
      <c r="F573" t="s">
        <v>987</v>
      </c>
      <c r="G573">
        <v>46.556600000000003</v>
      </c>
      <c r="H573" t="s">
        <v>423</v>
      </c>
    </row>
    <row r="574" spans="6:8" x14ac:dyDescent="0.3">
      <c r="F574" t="s">
        <v>988</v>
      </c>
      <c r="G574">
        <v>41.915999999999997</v>
      </c>
      <c r="H574" t="s">
        <v>423</v>
      </c>
    </row>
    <row r="575" spans="6:8" x14ac:dyDescent="0.3">
      <c r="F575" t="s">
        <v>989</v>
      </c>
      <c r="G575">
        <v>5.9550000000000001</v>
      </c>
      <c r="H575" t="s">
        <v>423</v>
      </c>
    </row>
    <row r="576" spans="6:8" x14ac:dyDescent="0.3">
      <c r="F576" t="s">
        <v>990</v>
      </c>
      <c r="G576">
        <v>63.748800000000003</v>
      </c>
      <c r="H576" t="s">
        <v>423</v>
      </c>
    </row>
    <row r="577" spans="6:8" x14ac:dyDescent="0.3">
      <c r="F577" t="s">
        <v>991</v>
      </c>
      <c r="G577">
        <v>-0.60559999999999903</v>
      </c>
      <c r="H577" t="s">
        <v>423</v>
      </c>
    </row>
    <row r="578" spans="6:8" x14ac:dyDescent="0.3">
      <c r="F578" t="s">
        <v>992</v>
      </c>
      <c r="G578">
        <v>17.056799999999999</v>
      </c>
      <c r="H578" t="s">
        <v>423</v>
      </c>
    </row>
    <row r="579" spans="6:8" x14ac:dyDescent="0.3">
      <c r="F579" t="s">
        <v>993</v>
      </c>
      <c r="G579">
        <v>28.256799999999998</v>
      </c>
      <c r="H579" t="s">
        <v>423</v>
      </c>
    </row>
    <row r="580" spans="6:8" x14ac:dyDescent="0.3">
      <c r="F580" t="s">
        <v>994</v>
      </c>
      <c r="G580">
        <v>55.822000000000003</v>
      </c>
      <c r="H580" t="s">
        <v>423</v>
      </c>
    </row>
    <row r="581" spans="6:8" x14ac:dyDescent="0.3">
      <c r="F581" t="s">
        <v>995</v>
      </c>
      <c r="G581">
        <v>6.3666</v>
      </c>
      <c r="H581" t="s">
        <v>423</v>
      </c>
    </row>
    <row r="582" spans="6:8" x14ac:dyDescent="0.3">
      <c r="F582" t="s">
        <v>996</v>
      </c>
      <c r="G582">
        <v>3.6743999999999999</v>
      </c>
      <c r="H582" t="s">
        <v>423</v>
      </c>
    </row>
    <row r="583" spans="6:8" x14ac:dyDescent="0.3">
      <c r="F583" t="s">
        <v>997</v>
      </c>
      <c r="G583">
        <v>205.755</v>
      </c>
      <c r="H583" t="s">
        <v>427</v>
      </c>
    </row>
    <row r="584" spans="6:8" x14ac:dyDescent="0.3">
      <c r="F584" t="s">
        <v>998</v>
      </c>
      <c r="G584">
        <v>13.736800000000001</v>
      </c>
      <c r="H584" t="s">
        <v>423</v>
      </c>
    </row>
    <row r="585" spans="6:8" x14ac:dyDescent="0.3">
      <c r="F585" t="s">
        <v>999</v>
      </c>
      <c r="G585">
        <v>197.39439999999999</v>
      </c>
      <c r="H585" t="s">
        <v>427</v>
      </c>
    </row>
    <row r="586" spans="6:8" x14ac:dyDescent="0.3">
      <c r="F586" t="s">
        <v>1000</v>
      </c>
      <c r="G586">
        <v>127.446</v>
      </c>
      <c r="H586" t="s">
        <v>427</v>
      </c>
    </row>
    <row r="587" spans="6:8" x14ac:dyDescent="0.3">
      <c r="F587" t="s">
        <v>1001</v>
      </c>
      <c r="G587">
        <v>135.93199999999999</v>
      </c>
      <c r="H587" t="s">
        <v>427</v>
      </c>
    </row>
    <row r="588" spans="6:8" x14ac:dyDescent="0.3">
      <c r="F588" t="s">
        <v>1002</v>
      </c>
      <c r="G588">
        <v>13.116400000000001</v>
      </c>
      <c r="H588" t="s">
        <v>423</v>
      </c>
    </row>
    <row r="589" spans="6:8" x14ac:dyDescent="0.3">
      <c r="F589" t="s">
        <v>1003</v>
      </c>
      <c r="G589">
        <v>8.9087999999999994</v>
      </c>
      <c r="H589" t="s">
        <v>423</v>
      </c>
    </row>
    <row r="590" spans="6:8" x14ac:dyDescent="0.3">
      <c r="F590" t="s">
        <v>1004</v>
      </c>
      <c r="G590">
        <v>-7.677999999999999</v>
      </c>
      <c r="H590" t="s">
        <v>423</v>
      </c>
    </row>
    <row r="591" spans="6:8" x14ac:dyDescent="0.3">
      <c r="F591" t="s">
        <v>1005</v>
      </c>
      <c r="G591">
        <v>77.128</v>
      </c>
      <c r="H591" t="s">
        <v>423</v>
      </c>
    </row>
    <row r="592" spans="6:8" x14ac:dyDescent="0.3">
      <c r="F592" t="s">
        <v>1006</v>
      </c>
      <c r="G592">
        <v>9.2851999999999997</v>
      </c>
      <c r="H592" t="s">
        <v>423</v>
      </c>
    </row>
    <row r="593" spans="6:8" x14ac:dyDescent="0.3">
      <c r="F593" t="s">
        <v>1007</v>
      </c>
      <c r="G593">
        <v>52.8292</v>
      </c>
      <c r="H593" t="s">
        <v>423</v>
      </c>
    </row>
    <row r="594" spans="6:8" x14ac:dyDescent="0.3">
      <c r="F594" t="s">
        <v>1008</v>
      </c>
      <c r="G594">
        <v>98.999600000000001</v>
      </c>
      <c r="H594" t="s">
        <v>423</v>
      </c>
    </row>
    <row r="595" spans="6:8" x14ac:dyDescent="0.3">
      <c r="F595" t="s">
        <v>1009</v>
      </c>
      <c r="G595">
        <v>78.256</v>
      </c>
      <c r="H595" t="s">
        <v>423</v>
      </c>
    </row>
    <row r="596" spans="6:8" x14ac:dyDescent="0.3">
      <c r="F596" t="s">
        <v>1010</v>
      </c>
      <c r="G596">
        <v>627.17220000000009</v>
      </c>
      <c r="H596" t="s">
        <v>433</v>
      </c>
    </row>
    <row r="597" spans="6:8" x14ac:dyDescent="0.3">
      <c r="F597" t="s">
        <v>1011</v>
      </c>
      <c r="G597">
        <v>73.023200000000003</v>
      </c>
      <c r="H597" t="s">
        <v>423</v>
      </c>
    </row>
    <row r="598" spans="6:8" x14ac:dyDescent="0.3">
      <c r="F598" t="s">
        <v>1012</v>
      </c>
      <c r="G598">
        <v>314.76600000000002</v>
      </c>
      <c r="H598" t="s">
        <v>427</v>
      </c>
    </row>
    <row r="599" spans="6:8" x14ac:dyDescent="0.3">
      <c r="F599" t="s">
        <v>1013</v>
      </c>
      <c r="G599">
        <v>-16.4925</v>
      </c>
      <c r="H599" t="s">
        <v>423</v>
      </c>
    </row>
    <row r="600" spans="6:8" x14ac:dyDescent="0.3">
      <c r="F600" t="s">
        <v>1014</v>
      </c>
      <c r="G600">
        <v>37.18</v>
      </c>
      <c r="H600" t="s">
        <v>423</v>
      </c>
    </row>
    <row r="601" spans="6:8" x14ac:dyDescent="0.3">
      <c r="F601" t="s">
        <v>1015</v>
      </c>
      <c r="G601">
        <v>108.336</v>
      </c>
      <c r="H601" t="s">
        <v>427</v>
      </c>
    </row>
    <row r="602" spans="6:8" x14ac:dyDescent="0.3">
      <c r="F602" t="s">
        <v>1016</v>
      </c>
      <c r="G602">
        <v>630.46799999999996</v>
      </c>
      <c r="H602" t="s">
        <v>433</v>
      </c>
    </row>
    <row r="603" spans="6:8" x14ac:dyDescent="0.3">
      <c r="F603" t="s">
        <v>1017</v>
      </c>
      <c r="G603">
        <v>722.10599999999999</v>
      </c>
      <c r="H603" t="s">
        <v>433</v>
      </c>
    </row>
    <row r="604" spans="6:8" x14ac:dyDescent="0.3">
      <c r="F604" t="s">
        <v>1018</v>
      </c>
      <c r="G604">
        <v>150.37479999999999</v>
      </c>
      <c r="H604" t="s">
        <v>427</v>
      </c>
    </row>
    <row r="605" spans="6:8" x14ac:dyDescent="0.3">
      <c r="F605" t="s">
        <v>1019</v>
      </c>
      <c r="G605">
        <v>-172.49250000000001</v>
      </c>
      <c r="H605" t="s">
        <v>423</v>
      </c>
    </row>
    <row r="606" spans="6:8" x14ac:dyDescent="0.3">
      <c r="F606" t="s">
        <v>1020</v>
      </c>
      <c r="G606">
        <v>-1057.23</v>
      </c>
      <c r="H606" t="s">
        <v>423</v>
      </c>
    </row>
    <row r="607" spans="6:8" x14ac:dyDescent="0.3">
      <c r="F607" t="s">
        <v>1021</v>
      </c>
      <c r="G607">
        <v>120.3828</v>
      </c>
      <c r="H607" t="s">
        <v>427</v>
      </c>
    </row>
    <row r="608" spans="6:8" x14ac:dyDescent="0.3">
      <c r="F608" t="s">
        <v>1022</v>
      </c>
      <c r="G608">
        <v>-4.4660000000000002</v>
      </c>
      <c r="H608" t="s">
        <v>423</v>
      </c>
    </row>
    <row r="609" spans="6:8" x14ac:dyDescent="0.3">
      <c r="F609" t="s">
        <v>1023</v>
      </c>
      <c r="G609">
        <v>55.361600000000003</v>
      </c>
      <c r="H609" t="s">
        <v>423</v>
      </c>
    </row>
    <row r="610" spans="6:8" x14ac:dyDescent="0.3">
      <c r="F610" t="s">
        <v>1024</v>
      </c>
      <c r="G610">
        <v>46.137599999999992</v>
      </c>
      <c r="H610" t="s">
        <v>423</v>
      </c>
    </row>
    <row r="611" spans="6:8" x14ac:dyDescent="0.3">
      <c r="F611" t="s">
        <v>1025</v>
      </c>
      <c r="G611">
        <v>53.027200000000001</v>
      </c>
      <c r="H611" t="s">
        <v>423</v>
      </c>
    </row>
    <row r="612" spans="6:8" x14ac:dyDescent="0.3">
      <c r="F612" t="s">
        <v>1026</v>
      </c>
      <c r="G612">
        <v>12.760400000000001</v>
      </c>
      <c r="H612" t="s">
        <v>423</v>
      </c>
    </row>
    <row r="613" spans="6:8" x14ac:dyDescent="0.3">
      <c r="F613" t="s">
        <v>1027</v>
      </c>
      <c r="G613">
        <v>241.1354</v>
      </c>
      <c r="H613" t="s">
        <v>427</v>
      </c>
    </row>
    <row r="614" spans="6:8" x14ac:dyDescent="0.3">
      <c r="F614" t="s">
        <v>1028</v>
      </c>
      <c r="G614">
        <v>291.7824</v>
      </c>
      <c r="H614" t="s">
        <v>427</v>
      </c>
    </row>
    <row r="615" spans="6:8" x14ac:dyDescent="0.3">
      <c r="F615" t="s">
        <v>1029</v>
      </c>
      <c r="G615">
        <v>146.51</v>
      </c>
      <c r="H615" t="s">
        <v>427</v>
      </c>
    </row>
    <row r="616" spans="6:8" x14ac:dyDescent="0.3">
      <c r="F616" t="s">
        <v>1030</v>
      </c>
      <c r="G616">
        <v>-325.63319999999999</v>
      </c>
      <c r="H616" t="s">
        <v>423</v>
      </c>
    </row>
    <row r="617" spans="6:8" x14ac:dyDescent="0.3">
      <c r="F617" t="s">
        <v>1031</v>
      </c>
      <c r="G617">
        <v>143.74719999999999</v>
      </c>
      <c r="H617" t="s">
        <v>427</v>
      </c>
    </row>
    <row r="618" spans="6:8" x14ac:dyDescent="0.3">
      <c r="F618" t="s">
        <v>1032</v>
      </c>
      <c r="G618">
        <v>87.964800000000011</v>
      </c>
      <c r="H618" t="s">
        <v>423</v>
      </c>
    </row>
    <row r="619" spans="6:8" x14ac:dyDescent="0.3">
      <c r="F619" t="s">
        <v>1033</v>
      </c>
      <c r="G619">
        <v>23.324400000000001</v>
      </c>
      <c r="H619" t="s">
        <v>423</v>
      </c>
    </row>
    <row r="620" spans="6:8" x14ac:dyDescent="0.3">
      <c r="F620" t="s">
        <v>1034</v>
      </c>
      <c r="G620">
        <v>72.332999999999998</v>
      </c>
      <c r="H620" t="s">
        <v>423</v>
      </c>
    </row>
    <row r="621" spans="6:8" x14ac:dyDescent="0.3">
      <c r="F621" t="s">
        <v>1035</v>
      </c>
      <c r="G621">
        <v>88.457999999999998</v>
      </c>
      <c r="H621" t="s">
        <v>423</v>
      </c>
    </row>
    <row r="622" spans="6:8" x14ac:dyDescent="0.3">
      <c r="F622" t="s">
        <v>1036</v>
      </c>
      <c r="G622">
        <v>21.318000000000001</v>
      </c>
      <c r="H622" t="s">
        <v>423</v>
      </c>
    </row>
    <row r="623" spans="6:8" x14ac:dyDescent="0.3">
      <c r="F623" t="s">
        <v>1037</v>
      </c>
      <c r="G623">
        <v>166.28039999999999</v>
      </c>
      <c r="H623" t="s">
        <v>427</v>
      </c>
    </row>
    <row r="624" spans="6:8" x14ac:dyDescent="0.3">
      <c r="F624" t="s">
        <v>1038</v>
      </c>
      <c r="G624">
        <v>93.58829999999999</v>
      </c>
      <c r="H624" t="s">
        <v>423</v>
      </c>
    </row>
    <row r="625" spans="6:8" x14ac:dyDescent="0.3">
      <c r="F625" t="s">
        <v>1039</v>
      </c>
      <c r="G625">
        <v>-1.778399999999998</v>
      </c>
      <c r="H625" t="s">
        <v>423</v>
      </c>
    </row>
    <row r="626" spans="6:8" x14ac:dyDescent="0.3">
      <c r="F626" t="s">
        <v>1040</v>
      </c>
      <c r="G626">
        <v>94.515199999999993</v>
      </c>
      <c r="H626" t="s">
        <v>423</v>
      </c>
    </row>
    <row r="627" spans="6:8" x14ac:dyDescent="0.3">
      <c r="F627" t="s">
        <v>1041</v>
      </c>
      <c r="G627">
        <v>-1.0688</v>
      </c>
      <c r="H627" t="s">
        <v>423</v>
      </c>
    </row>
    <row r="628" spans="6:8" x14ac:dyDescent="0.3">
      <c r="F628" t="s">
        <v>1042</v>
      </c>
      <c r="G628">
        <v>18.512</v>
      </c>
      <c r="H628" t="s">
        <v>423</v>
      </c>
    </row>
    <row r="629" spans="6:8" x14ac:dyDescent="0.3">
      <c r="F629" t="s">
        <v>1043</v>
      </c>
      <c r="G629">
        <v>266.072</v>
      </c>
      <c r="H629" t="s">
        <v>427</v>
      </c>
    </row>
    <row r="630" spans="6:8" x14ac:dyDescent="0.3">
      <c r="F630" t="s">
        <v>1044</v>
      </c>
      <c r="G630">
        <v>14.0832</v>
      </c>
      <c r="H630" t="s">
        <v>423</v>
      </c>
    </row>
    <row r="631" spans="6:8" x14ac:dyDescent="0.3">
      <c r="F631" t="s">
        <v>1045</v>
      </c>
      <c r="G631">
        <v>36.517499999999998</v>
      </c>
      <c r="H631" t="s">
        <v>423</v>
      </c>
    </row>
    <row r="632" spans="6:8" x14ac:dyDescent="0.3">
      <c r="F632" t="s">
        <v>1046</v>
      </c>
      <c r="G632">
        <v>166.84</v>
      </c>
      <c r="H632" t="s">
        <v>427</v>
      </c>
    </row>
    <row r="633" spans="6:8" x14ac:dyDescent="0.3">
      <c r="F633" t="s">
        <v>1047</v>
      </c>
      <c r="G633">
        <v>43.706000000000003</v>
      </c>
      <c r="H633" t="s">
        <v>423</v>
      </c>
    </row>
    <row r="634" spans="6:8" x14ac:dyDescent="0.3">
      <c r="F634" t="s">
        <v>1048</v>
      </c>
      <c r="G634">
        <v>41.64</v>
      </c>
      <c r="H634" t="s">
        <v>423</v>
      </c>
    </row>
    <row r="635" spans="6:8" x14ac:dyDescent="0.3">
      <c r="F635" t="s">
        <v>1049</v>
      </c>
      <c r="G635">
        <v>100.66200000000001</v>
      </c>
      <c r="H635" t="s">
        <v>427</v>
      </c>
    </row>
    <row r="636" spans="6:8" x14ac:dyDescent="0.3">
      <c r="F636" t="s">
        <v>1050</v>
      </c>
      <c r="G636">
        <v>-30.22880000000001</v>
      </c>
      <c r="H636" t="s">
        <v>423</v>
      </c>
    </row>
    <row r="637" spans="6:8" x14ac:dyDescent="0.3">
      <c r="F637" t="s">
        <v>1051</v>
      </c>
      <c r="G637">
        <v>153.3528</v>
      </c>
      <c r="H637" t="s">
        <v>427</v>
      </c>
    </row>
    <row r="638" spans="6:8" x14ac:dyDescent="0.3">
      <c r="F638" t="s">
        <v>1052</v>
      </c>
      <c r="G638">
        <v>-12.792</v>
      </c>
      <c r="H638" t="s">
        <v>423</v>
      </c>
    </row>
    <row r="639" spans="6:8" x14ac:dyDescent="0.3">
      <c r="F639" t="s">
        <v>1053</v>
      </c>
      <c r="G639">
        <v>201.07159999999999</v>
      </c>
      <c r="H639" t="s">
        <v>427</v>
      </c>
    </row>
    <row r="640" spans="6:8" x14ac:dyDescent="0.3">
      <c r="F640" t="s">
        <v>1054</v>
      </c>
      <c r="G640">
        <v>58.280200000000008</v>
      </c>
      <c r="H640" t="s">
        <v>423</v>
      </c>
    </row>
    <row r="641" spans="6:8" x14ac:dyDescent="0.3">
      <c r="F641" t="s">
        <v>1055</v>
      </c>
      <c r="G641">
        <v>71.954999999999998</v>
      </c>
      <c r="H641" t="s">
        <v>423</v>
      </c>
    </row>
    <row r="642" spans="6:8" x14ac:dyDescent="0.3">
      <c r="F642" t="s">
        <v>1056</v>
      </c>
      <c r="G642">
        <v>-4.4156000000000013</v>
      </c>
      <c r="H642" t="s">
        <v>423</v>
      </c>
    </row>
    <row r="643" spans="6:8" x14ac:dyDescent="0.3">
      <c r="F643" t="s">
        <v>1057</v>
      </c>
      <c r="G643">
        <v>-78.016000000000005</v>
      </c>
      <c r="H643" t="s">
        <v>423</v>
      </c>
    </row>
    <row r="644" spans="6:8" x14ac:dyDescent="0.3">
      <c r="F644" t="s">
        <v>1058</v>
      </c>
      <c r="G644">
        <v>50.362499999999997</v>
      </c>
      <c r="H644" t="s">
        <v>423</v>
      </c>
    </row>
    <row r="645" spans="6:8" x14ac:dyDescent="0.3">
      <c r="F645" t="s">
        <v>1059</v>
      </c>
      <c r="G645">
        <v>-56.2194</v>
      </c>
      <c r="H645" t="s">
        <v>423</v>
      </c>
    </row>
    <row r="646" spans="6:8" x14ac:dyDescent="0.3">
      <c r="F646" t="s">
        <v>1060</v>
      </c>
      <c r="G646">
        <v>419.33219999999989</v>
      </c>
      <c r="H646" t="s">
        <v>427</v>
      </c>
    </row>
    <row r="647" spans="6:8" x14ac:dyDescent="0.3">
      <c r="F647" t="s">
        <v>1061</v>
      </c>
      <c r="G647">
        <v>67.296400000000006</v>
      </c>
      <c r="H647" t="s">
        <v>423</v>
      </c>
    </row>
    <row r="648" spans="6:8" x14ac:dyDescent="0.3">
      <c r="F648" t="s">
        <v>1062</v>
      </c>
      <c r="G648">
        <v>485.00400000000002</v>
      </c>
      <c r="H648" t="s">
        <v>427</v>
      </c>
    </row>
    <row r="649" spans="6:8" x14ac:dyDescent="0.3">
      <c r="F649" t="s">
        <v>1063</v>
      </c>
      <c r="G649">
        <v>-18.188800000000001</v>
      </c>
      <c r="H649" t="s">
        <v>423</v>
      </c>
    </row>
    <row r="650" spans="6:8" x14ac:dyDescent="0.3">
      <c r="F650" t="s">
        <v>1064</v>
      </c>
      <c r="G650">
        <v>-332.37099999999998</v>
      </c>
      <c r="H650" t="s">
        <v>423</v>
      </c>
    </row>
    <row r="651" spans="6:8" x14ac:dyDescent="0.3">
      <c r="F651" t="s">
        <v>1065</v>
      </c>
      <c r="G651">
        <v>693.55919999999992</v>
      </c>
      <c r="H651" t="s">
        <v>433</v>
      </c>
    </row>
    <row r="652" spans="6:8" x14ac:dyDescent="0.3">
      <c r="F652" t="s">
        <v>1066</v>
      </c>
      <c r="G652">
        <v>2518.0551</v>
      </c>
      <c r="H652" t="s">
        <v>433</v>
      </c>
    </row>
    <row r="653" spans="6:8" x14ac:dyDescent="0.3">
      <c r="F653" t="s">
        <v>31</v>
      </c>
      <c r="G653">
        <v>7753.0389999999998</v>
      </c>
      <c r="H653" t="s">
        <v>433</v>
      </c>
    </row>
    <row r="654" spans="6:8" x14ac:dyDescent="0.3">
      <c r="F654" t="s">
        <v>1067</v>
      </c>
      <c r="G654">
        <v>52.645600000000002</v>
      </c>
      <c r="H654" t="s">
        <v>423</v>
      </c>
    </row>
    <row r="655" spans="6:8" x14ac:dyDescent="0.3">
      <c r="F655" t="s">
        <v>1068</v>
      </c>
      <c r="G655">
        <v>1092.6795</v>
      </c>
      <c r="H655" t="s">
        <v>433</v>
      </c>
    </row>
    <row r="656" spans="6:8" x14ac:dyDescent="0.3">
      <c r="F656" t="s">
        <v>1069</v>
      </c>
      <c r="G656">
        <v>169.26320000000001</v>
      </c>
      <c r="H656" t="s">
        <v>427</v>
      </c>
    </row>
    <row r="657" spans="6:8" x14ac:dyDescent="0.3">
      <c r="F657" t="s">
        <v>1070</v>
      </c>
      <c r="G657">
        <v>21.824999999999999</v>
      </c>
      <c r="H657" t="s">
        <v>423</v>
      </c>
    </row>
    <row r="658" spans="6:8" x14ac:dyDescent="0.3">
      <c r="F658" t="s">
        <v>1071</v>
      </c>
      <c r="G658">
        <v>48.853200000000001</v>
      </c>
      <c r="H658" t="s">
        <v>423</v>
      </c>
    </row>
    <row r="659" spans="6:8" x14ac:dyDescent="0.3">
      <c r="F659" t="s">
        <v>1072</v>
      </c>
      <c r="G659">
        <v>50.584800000000001</v>
      </c>
      <c r="H659" t="s">
        <v>423</v>
      </c>
    </row>
    <row r="660" spans="6:8" x14ac:dyDescent="0.3">
      <c r="F660" t="s">
        <v>1073</v>
      </c>
      <c r="G660">
        <v>509.96879999999999</v>
      </c>
      <c r="H660" t="s">
        <v>433</v>
      </c>
    </row>
    <row r="661" spans="6:8" x14ac:dyDescent="0.3">
      <c r="F661" t="s">
        <v>1074</v>
      </c>
      <c r="G661">
        <v>78.252600000000001</v>
      </c>
      <c r="H661" t="s">
        <v>423</v>
      </c>
    </row>
    <row r="662" spans="6:8" x14ac:dyDescent="0.3">
      <c r="F662" t="s">
        <v>1075</v>
      </c>
      <c r="G662">
        <v>388.74599999999998</v>
      </c>
      <c r="H662" t="s">
        <v>427</v>
      </c>
    </row>
    <row r="663" spans="6:8" x14ac:dyDescent="0.3">
      <c r="F663" t="s">
        <v>1076</v>
      </c>
      <c r="G663">
        <v>67.709999999999994</v>
      </c>
      <c r="H663" t="s">
        <v>423</v>
      </c>
    </row>
    <row r="664" spans="6:8" x14ac:dyDescent="0.3">
      <c r="F664" t="s">
        <v>1077</v>
      </c>
      <c r="G664">
        <v>473.3415</v>
      </c>
      <c r="H664" t="s">
        <v>427</v>
      </c>
    </row>
    <row r="665" spans="6:8" x14ac:dyDescent="0.3">
      <c r="F665" t="s">
        <v>1078</v>
      </c>
      <c r="G665">
        <v>57.09</v>
      </c>
      <c r="H665" t="s">
        <v>423</v>
      </c>
    </row>
    <row r="666" spans="6:8" x14ac:dyDescent="0.3">
      <c r="F666" t="s">
        <v>1079</v>
      </c>
      <c r="G666">
        <v>-3.2160000000000011</v>
      </c>
      <c r="H666" t="s">
        <v>423</v>
      </c>
    </row>
    <row r="667" spans="6:8" x14ac:dyDescent="0.3">
      <c r="F667" t="s">
        <v>1080</v>
      </c>
      <c r="G667">
        <v>51.420599999999993</v>
      </c>
      <c r="H667" t="s">
        <v>423</v>
      </c>
    </row>
    <row r="668" spans="6:8" x14ac:dyDescent="0.3">
      <c r="F668" t="s">
        <v>1081</v>
      </c>
      <c r="G668">
        <v>260.95299999999997</v>
      </c>
      <c r="H668" t="s">
        <v>427</v>
      </c>
    </row>
    <row r="669" spans="6:8" x14ac:dyDescent="0.3">
      <c r="F669" t="s">
        <v>1082</v>
      </c>
      <c r="G669">
        <v>15.8</v>
      </c>
      <c r="H669" t="s">
        <v>423</v>
      </c>
    </row>
    <row r="670" spans="6:8" x14ac:dyDescent="0.3">
      <c r="F670" t="s">
        <v>1083</v>
      </c>
      <c r="G670">
        <v>119.952</v>
      </c>
      <c r="H670" t="s">
        <v>427</v>
      </c>
    </row>
    <row r="671" spans="6:8" x14ac:dyDescent="0.3">
      <c r="F671" t="s">
        <v>1084</v>
      </c>
      <c r="G671">
        <v>45.858400000000003</v>
      </c>
      <c r="H671" t="s">
        <v>423</v>
      </c>
    </row>
    <row r="672" spans="6:8" x14ac:dyDescent="0.3">
      <c r="F672" t="s">
        <v>1085</v>
      </c>
      <c r="G672">
        <v>27.3504</v>
      </c>
      <c r="H672" t="s">
        <v>423</v>
      </c>
    </row>
    <row r="673" spans="6:8" x14ac:dyDescent="0.3">
      <c r="F673" t="s">
        <v>1086</v>
      </c>
      <c r="G673">
        <v>86.083199999999991</v>
      </c>
      <c r="H673" t="s">
        <v>423</v>
      </c>
    </row>
    <row r="674" spans="6:8" x14ac:dyDescent="0.3">
      <c r="F674" t="s">
        <v>1087</v>
      </c>
      <c r="G674">
        <v>13.4208</v>
      </c>
      <c r="H674" t="s">
        <v>423</v>
      </c>
    </row>
    <row r="675" spans="6:8" x14ac:dyDescent="0.3">
      <c r="F675" t="s">
        <v>1088</v>
      </c>
      <c r="G675">
        <v>120.9528</v>
      </c>
      <c r="H675" t="s">
        <v>427</v>
      </c>
    </row>
    <row r="676" spans="6:8" x14ac:dyDescent="0.3">
      <c r="F676" t="s">
        <v>1089</v>
      </c>
      <c r="G676">
        <v>18.940000000000001</v>
      </c>
      <c r="H676" t="s">
        <v>423</v>
      </c>
    </row>
    <row r="677" spans="6:8" x14ac:dyDescent="0.3">
      <c r="F677" t="s">
        <v>1090</v>
      </c>
      <c r="G677">
        <v>197.10400000000001</v>
      </c>
      <c r="H677" t="s">
        <v>427</v>
      </c>
    </row>
    <row r="678" spans="6:8" x14ac:dyDescent="0.3">
      <c r="F678" t="s">
        <v>1091</v>
      </c>
      <c r="G678">
        <v>22.447199999999999</v>
      </c>
      <c r="H678" t="s">
        <v>423</v>
      </c>
    </row>
    <row r="679" spans="6:8" x14ac:dyDescent="0.3">
      <c r="F679" t="s">
        <v>1092</v>
      </c>
      <c r="G679">
        <v>22.894400000000001</v>
      </c>
      <c r="H679" t="s">
        <v>423</v>
      </c>
    </row>
    <row r="680" spans="6:8" x14ac:dyDescent="0.3">
      <c r="F680" t="s">
        <v>1093</v>
      </c>
      <c r="G680">
        <v>25.763200000000001</v>
      </c>
      <c r="H680" t="s">
        <v>423</v>
      </c>
    </row>
    <row r="681" spans="6:8" x14ac:dyDescent="0.3">
      <c r="F681" t="s">
        <v>1094</v>
      </c>
      <c r="G681">
        <v>58.922499999999999</v>
      </c>
      <c r="H681" t="s">
        <v>423</v>
      </c>
    </row>
    <row r="682" spans="6:8" x14ac:dyDescent="0.3">
      <c r="F682" t="s">
        <v>1095</v>
      </c>
      <c r="G682">
        <v>13.644000000000011</v>
      </c>
      <c r="H682" t="s">
        <v>423</v>
      </c>
    </row>
    <row r="683" spans="6:8" x14ac:dyDescent="0.3">
      <c r="F683" t="s">
        <v>1096</v>
      </c>
      <c r="G683">
        <v>1052.45</v>
      </c>
      <c r="H683" t="s">
        <v>433</v>
      </c>
    </row>
    <row r="684" spans="6:8" x14ac:dyDescent="0.3">
      <c r="F684" t="s">
        <v>1097</v>
      </c>
      <c r="G684">
        <v>494.42120000000011</v>
      </c>
      <c r="H684" t="s">
        <v>427</v>
      </c>
    </row>
    <row r="685" spans="6:8" x14ac:dyDescent="0.3">
      <c r="F685" t="s">
        <v>1098</v>
      </c>
      <c r="G685">
        <v>489.64100000000008</v>
      </c>
      <c r="H685" t="s">
        <v>427</v>
      </c>
    </row>
    <row r="686" spans="6:8" x14ac:dyDescent="0.3">
      <c r="F686" t="s">
        <v>38</v>
      </c>
      <c r="G686">
        <v>-1878.1661999999999</v>
      </c>
      <c r="H686" t="s">
        <v>423</v>
      </c>
    </row>
    <row r="687" spans="6:8" x14ac:dyDescent="0.3">
      <c r="F687" t="s">
        <v>1099</v>
      </c>
      <c r="G687">
        <v>569.42200000000003</v>
      </c>
      <c r="H687" t="s">
        <v>433</v>
      </c>
    </row>
    <row r="688" spans="6:8" x14ac:dyDescent="0.3">
      <c r="F688" t="s">
        <v>1100</v>
      </c>
      <c r="G688">
        <v>1592.4978000000001</v>
      </c>
      <c r="H688" t="s">
        <v>433</v>
      </c>
    </row>
    <row r="689" spans="6:8" x14ac:dyDescent="0.3">
      <c r="F689" t="s">
        <v>34</v>
      </c>
      <c r="G689">
        <v>2233.5050999999999</v>
      </c>
      <c r="H689" t="s">
        <v>433</v>
      </c>
    </row>
    <row r="690" spans="6:8" x14ac:dyDescent="0.3">
      <c r="F690" t="s">
        <v>1101</v>
      </c>
      <c r="G690">
        <v>14.319000000000001</v>
      </c>
      <c r="H690" t="s">
        <v>423</v>
      </c>
    </row>
    <row r="691" spans="6:8" x14ac:dyDescent="0.3">
      <c r="F691" t="s">
        <v>35</v>
      </c>
      <c r="G691">
        <v>760.97999999999956</v>
      </c>
      <c r="H691" t="s">
        <v>433</v>
      </c>
    </row>
    <row r="692" spans="6:8" x14ac:dyDescent="0.3">
      <c r="F692" t="s">
        <v>1102</v>
      </c>
      <c r="G692">
        <v>39.967200000000012</v>
      </c>
      <c r="H692" t="s">
        <v>423</v>
      </c>
    </row>
    <row r="693" spans="6:8" x14ac:dyDescent="0.3">
      <c r="F693" t="s">
        <v>1103</v>
      </c>
      <c r="G693">
        <v>-12.432</v>
      </c>
      <c r="H693" t="s">
        <v>423</v>
      </c>
    </row>
    <row r="694" spans="6:8" x14ac:dyDescent="0.3">
      <c r="F694" t="s">
        <v>1104</v>
      </c>
      <c r="G694">
        <v>3.234999999999999</v>
      </c>
      <c r="H694" t="s">
        <v>423</v>
      </c>
    </row>
    <row r="695" spans="6:8" x14ac:dyDescent="0.3">
      <c r="F695" t="s">
        <v>1105</v>
      </c>
      <c r="G695">
        <v>18.408300000000001</v>
      </c>
      <c r="H695" t="s">
        <v>423</v>
      </c>
    </row>
    <row r="696" spans="6:8" x14ac:dyDescent="0.3">
      <c r="F696" t="s">
        <v>1106</v>
      </c>
      <c r="G696">
        <v>-82.406800000000004</v>
      </c>
      <c r="H696" t="s">
        <v>423</v>
      </c>
    </row>
    <row r="697" spans="6:8" x14ac:dyDescent="0.3">
      <c r="F697" t="s">
        <v>1107</v>
      </c>
      <c r="G697">
        <v>-11.261200000000001</v>
      </c>
      <c r="H697" t="s">
        <v>423</v>
      </c>
    </row>
    <row r="698" spans="6:8" x14ac:dyDescent="0.3">
      <c r="F698" t="s">
        <v>1108</v>
      </c>
      <c r="G698">
        <v>59.778000000000013</v>
      </c>
      <c r="H698" t="s">
        <v>423</v>
      </c>
    </row>
    <row r="699" spans="6:8" x14ac:dyDescent="0.3">
      <c r="F699" t="s">
        <v>1109</v>
      </c>
      <c r="G699">
        <v>-68.4208</v>
      </c>
      <c r="H699" t="s">
        <v>423</v>
      </c>
    </row>
    <row r="700" spans="6:8" x14ac:dyDescent="0.3">
      <c r="F700" t="s">
        <v>1110</v>
      </c>
      <c r="G700">
        <v>102.44880000000001</v>
      </c>
      <c r="H700" t="s">
        <v>427</v>
      </c>
    </row>
    <row r="701" spans="6:8" x14ac:dyDescent="0.3">
      <c r="F701" t="s">
        <v>1111</v>
      </c>
      <c r="G701">
        <v>52.447200000000002</v>
      </c>
      <c r="H701" t="s">
        <v>423</v>
      </c>
    </row>
    <row r="702" spans="6:8" x14ac:dyDescent="0.3">
      <c r="F702" t="s">
        <v>1112</v>
      </c>
      <c r="G702">
        <v>49.512800000000027</v>
      </c>
      <c r="H702" t="s">
        <v>423</v>
      </c>
    </row>
    <row r="703" spans="6:8" x14ac:dyDescent="0.3">
      <c r="F703" t="s">
        <v>1113</v>
      </c>
      <c r="G703">
        <v>125.7838</v>
      </c>
      <c r="H703" t="s">
        <v>427</v>
      </c>
    </row>
    <row r="704" spans="6:8" x14ac:dyDescent="0.3">
      <c r="F704" t="s">
        <v>1114</v>
      </c>
      <c r="G704">
        <v>364.71530000000001</v>
      </c>
      <c r="H704" t="s">
        <v>427</v>
      </c>
    </row>
    <row r="705" spans="6:8" x14ac:dyDescent="0.3">
      <c r="F705" t="s">
        <v>1115</v>
      </c>
      <c r="G705">
        <v>-461.33080000000012</v>
      </c>
      <c r="H705" t="s">
        <v>423</v>
      </c>
    </row>
    <row r="706" spans="6:8" x14ac:dyDescent="0.3">
      <c r="F706" t="s">
        <v>1116</v>
      </c>
      <c r="G706">
        <v>562.38419999999996</v>
      </c>
      <c r="H706" t="s">
        <v>433</v>
      </c>
    </row>
    <row r="707" spans="6:8" x14ac:dyDescent="0.3">
      <c r="F707" t="s">
        <v>1117</v>
      </c>
      <c r="G707">
        <v>-13.2818</v>
      </c>
      <c r="H707" t="s">
        <v>423</v>
      </c>
    </row>
    <row r="708" spans="6:8" x14ac:dyDescent="0.3">
      <c r="F708" t="s">
        <v>1118</v>
      </c>
      <c r="G708">
        <v>107.074</v>
      </c>
      <c r="H708" t="s">
        <v>427</v>
      </c>
    </row>
    <row r="709" spans="6:8" x14ac:dyDescent="0.3">
      <c r="F709" t="s">
        <v>1119</v>
      </c>
      <c r="G709">
        <v>451.93680000000001</v>
      </c>
      <c r="H709" t="s">
        <v>427</v>
      </c>
    </row>
    <row r="710" spans="6:8" x14ac:dyDescent="0.3">
      <c r="F710" t="s">
        <v>1120</v>
      </c>
      <c r="G710">
        <v>100.8768</v>
      </c>
      <c r="H710" t="s">
        <v>427</v>
      </c>
    </row>
    <row r="711" spans="6:8" x14ac:dyDescent="0.3">
      <c r="F711" t="s">
        <v>1121</v>
      </c>
      <c r="G711">
        <v>-2.9205000000000001</v>
      </c>
      <c r="H711" t="s">
        <v>423</v>
      </c>
    </row>
    <row r="712" spans="6:8" x14ac:dyDescent="0.3">
      <c r="F712" t="s">
        <v>1122</v>
      </c>
      <c r="G712">
        <v>5.0239999999999991</v>
      </c>
      <c r="H712" t="s">
        <v>423</v>
      </c>
    </row>
    <row r="713" spans="6:8" x14ac:dyDescent="0.3">
      <c r="F713" t="s">
        <v>1123</v>
      </c>
      <c r="G713">
        <v>-27.165600000000001</v>
      </c>
      <c r="H713" t="s">
        <v>423</v>
      </c>
    </row>
    <row r="714" spans="6:8" x14ac:dyDescent="0.3">
      <c r="F714" t="s">
        <v>1124</v>
      </c>
      <c r="G714">
        <v>8.4728000000000065</v>
      </c>
      <c r="H714" t="s">
        <v>423</v>
      </c>
    </row>
    <row r="715" spans="6:8" x14ac:dyDescent="0.3">
      <c r="F715" t="s">
        <v>1125</v>
      </c>
      <c r="G715">
        <v>413.24639999999999</v>
      </c>
      <c r="H715" t="s">
        <v>427</v>
      </c>
    </row>
    <row r="716" spans="6:8" x14ac:dyDescent="0.3">
      <c r="F716" t="s">
        <v>1126</v>
      </c>
      <c r="G716">
        <v>259.584</v>
      </c>
      <c r="H716" t="s">
        <v>427</v>
      </c>
    </row>
    <row r="717" spans="6:8" x14ac:dyDescent="0.3">
      <c r="F717" t="s">
        <v>1127</v>
      </c>
      <c r="G717">
        <v>-2.2830000000000048</v>
      </c>
      <c r="H717" t="s">
        <v>423</v>
      </c>
    </row>
    <row r="718" spans="6:8" x14ac:dyDescent="0.3">
      <c r="F718" t="s">
        <v>1128</v>
      </c>
      <c r="G718">
        <v>18.527999999999992</v>
      </c>
      <c r="H718" t="s">
        <v>423</v>
      </c>
    </row>
    <row r="719" spans="6:8" x14ac:dyDescent="0.3">
      <c r="F719" t="s">
        <v>1129</v>
      </c>
      <c r="G719">
        <v>-411.33199999999999</v>
      </c>
      <c r="H719" t="s">
        <v>423</v>
      </c>
    </row>
    <row r="720" spans="6:8" x14ac:dyDescent="0.3">
      <c r="F720" t="s">
        <v>1130</v>
      </c>
      <c r="G720">
        <v>280.72200000000009</v>
      </c>
      <c r="H720" t="s">
        <v>427</v>
      </c>
    </row>
    <row r="721" spans="6:8" x14ac:dyDescent="0.3">
      <c r="F721" t="s">
        <v>1131</v>
      </c>
      <c r="G721">
        <v>-23.808</v>
      </c>
      <c r="H721" t="s">
        <v>423</v>
      </c>
    </row>
    <row r="722" spans="6:8" x14ac:dyDescent="0.3">
      <c r="F722" t="s">
        <v>1132</v>
      </c>
      <c r="G722">
        <v>-9.2450000000000045</v>
      </c>
      <c r="H722" t="s">
        <v>423</v>
      </c>
    </row>
    <row r="723" spans="6:8" x14ac:dyDescent="0.3">
      <c r="F723" t="s">
        <v>1133</v>
      </c>
      <c r="G723">
        <v>31.421600000000002</v>
      </c>
      <c r="H723" t="s">
        <v>423</v>
      </c>
    </row>
    <row r="724" spans="6:8" x14ac:dyDescent="0.3">
      <c r="F724" t="s">
        <v>1134</v>
      </c>
      <c r="G724">
        <v>41.566800000000001</v>
      </c>
      <c r="H724" t="s">
        <v>423</v>
      </c>
    </row>
    <row r="725" spans="6:8" x14ac:dyDescent="0.3">
      <c r="F725" t="s">
        <v>1135</v>
      </c>
      <c r="G725">
        <v>-18.409199999999998</v>
      </c>
      <c r="H725" t="s">
        <v>423</v>
      </c>
    </row>
    <row r="726" spans="6:8" x14ac:dyDescent="0.3">
      <c r="F726" t="s">
        <v>1136</v>
      </c>
      <c r="G726">
        <v>94.755400000000009</v>
      </c>
      <c r="H726" t="s">
        <v>423</v>
      </c>
    </row>
    <row r="727" spans="6:8" x14ac:dyDescent="0.3">
      <c r="F727" t="s">
        <v>1137</v>
      </c>
      <c r="G727">
        <v>336.37099999999998</v>
      </c>
      <c r="H727" t="s">
        <v>427</v>
      </c>
    </row>
    <row r="728" spans="6:8" x14ac:dyDescent="0.3">
      <c r="F728" t="s">
        <v>1138</v>
      </c>
      <c r="G728">
        <v>838.83719999999994</v>
      </c>
      <c r="H728" t="s">
        <v>433</v>
      </c>
    </row>
    <row r="729" spans="6:8" x14ac:dyDescent="0.3">
      <c r="F729" t="s">
        <v>1139</v>
      </c>
      <c r="G729">
        <v>42.243600000000001</v>
      </c>
      <c r="H729" t="s">
        <v>423</v>
      </c>
    </row>
    <row r="730" spans="6:8" x14ac:dyDescent="0.3">
      <c r="F730" t="s">
        <v>1140</v>
      </c>
      <c r="G730">
        <v>1260.221</v>
      </c>
      <c r="H730" t="s">
        <v>433</v>
      </c>
    </row>
    <row r="731" spans="6:8" x14ac:dyDescent="0.3">
      <c r="F731" t="s">
        <v>1141</v>
      </c>
      <c r="G731">
        <v>69.982499999999987</v>
      </c>
      <c r="H731" t="s">
        <v>423</v>
      </c>
    </row>
    <row r="732" spans="6:8" x14ac:dyDescent="0.3">
      <c r="F732" t="s">
        <v>1142</v>
      </c>
      <c r="G732">
        <v>14.55</v>
      </c>
      <c r="H732" t="s">
        <v>423</v>
      </c>
    </row>
    <row r="733" spans="6:8" x14ac:dyDescent="0.3">
      <c r="F733" t="s">
        <v>1143</v>
      </c>
      <c r="G733">
        <v>3.1410000000000018</v>
      </c>
      <c r="H733" t="s">
        <v>423</v>
      </c>
    </row>
    <row r="734" spans="6:8" x14ac:dyDescent="0.3">
      <c r="F734" t="s">
        <v>1144</v>
      </c>
      <c r="G734">
        <v>-11.950799999999999</v>
      </c>
      <c r="H734" t="s">
        <v>423</v>
      </c>
    </row>
    <row r="735" spans="6:8" x14ac:dyDescent="0.3">
      <c r="F735" t="s">
        <v>1145</v>
      </c>
      <c r="G735">
        <v>384.19200000000001</v>
      </c>
      <c r="H735" t="s">
        <v>427</v>
      </c>
    </row>
    <row r="736" spans="6:8" x14ac:dyDescent="0.3">
      <c r="F736" t="s">
        <v>1146</v>
      </c>
      <c r="G736">
        <v>29.541599999999999</v>
      </c>
      <c r="H736" t="s">
        <v>423</v>
      </c>
    </row>
    <row r="737" spans="6:8" x14ac:dyDescent="0.3">
      <c r="F737" t="s">
        <v>1147</v>
      </c>
      <c r="G737">
        <v>206.87039999999999</v>
      </c>
      <c r="H737" t="s">
        <v>427</v>
      </c>
    </row>
    <row r="738" spans="6:8" x14ac:dyDescent="0.3">
      <c r="F738" t="s">
        <v>1148</v>
      </c>
      <c r="G738">
        <v>354.03480000000008</v>
      </c>
      <c r="H738" t="s">
        <v>427</v>
      </c>
    </row>
    <row r="739" spans="6:8" x14ac:dyDescent="0.3">
      <c r="F739" t="s">
        <v>1149</v>
      </c>
      <c r="G739">
        <v>573.72400000000005</v>
      </c>
      <c r="H739" t="s">
        <v>433</v>
      </c>
    </row>
    <row r="740" spans="6:8" x14ac:dyDescent="0.3">
      <c r="F740" t="s">
        <v>1150</v>
      </c>
      <c r="G740">
        <v>-20.7332</v>
      </c>
      <c r="H740" t="s">
        <v>423</v>
      </c>
    </row>
    <row r="741" spans="6:8" x14ac:dyDescent="0.3">
      <c r="F741" t="s">
        <v>1151</v>
      </c>
      <c r="G741">
        <v>15.0832</v>
      </c>
      <c r="H741" t="s">
        <v>423</v>
      </c>
    </row>
    <row r="742" spans="6:8" x14ac:dyDescent="0.3">
      <c r="F742" t="s">
        <v>1152</v>
      </c>
      <c r="G742">
        <v>697.14149999999995</v>
      </c>
      <c r="H742" t="s">
        <v>433</v>
      </c>
    </row>
    <row r="743" spans="6:8" x14ac:dyDescent="0.3">
      <c r="F743" t="s">
        <v>1153</v>
      </c>
      <c r="G743">
        <v>514.36599999999999</v>
      </c>
      <c r="H743" t="s">
        <v>433</v>
      </c>
    </row>
    <row r="744" spans="6:8" x14ac:dyDescent="0.3">
      <c r="F744" t="s">
        <v>1154</v>
      </c>
      <c r="G744">
        <v>926.18499999999995</v>
      </c>
      <c r="H744" t="s">
        <v>433</v>
      </c>
    </row>
    <row r="745" spans="6:8" x14ac:dyDescent="0.3">
      <c r="F745" t="s">
        <v>1155</v>
      </c>
      <c r="G745">
        <v>41.116799999999998</v>
      </c>
      <c r="H745" t="s">
        <v>423</v>
      </c>
    </row>
    <row r="746" spans="6:8" x14ac:dyDescent="0.3">
      <c r="F746" t="s">
        <v>1156</v>
      </c>
      <c r="G746">
        <v>1558.5909999999999</v>
      </c>
      <c r="H746" t="s">
        <v>433</v>
      </c>
    </row>
    <row r="747" spans="6:8" x14ac:dyDescent="0.3">
      <c r="F747" t="s">
        <v>1157</v>
      </c>
      <c r="G747">
        <v>-149.589</v>
      </c>
      <c r="H747" t="s">
        <v>423</v>
      </c>
    </row>
    <row r="748" spans="6:8" x14ac:dyDescent="0.3">
      <c r="F748" t="s">
        <v>1158</v>
      </c>
      <c r="G748">
        <v>229.3922</v>
      </c>
      <c r="H748" t="s">
        <v>427</v>
      </c>
    </row>
    <row r="749" spans="6:8" x14ac:dyDescent="0.3">
      <c r="F749" t="s">
        <v>1159</v>
      </c>
      <c r="G749">
        <v>76.979799999999997</v>
      </c>
      <c r="H749" t="s">
        <v>423</v>
      </c>
    </row>
    <row r="750" spans="6:8" x14ac:dyDescent="0.3">
      <c r="F750" t="s">
        <v>1160</v>
      </c>
      <c r="G750">
        <v>-216.31379999999999</v>
      </c>
      <c r="H750" t="s">
        <v>423</v>
      </c>
    </row>
    <row r="751" spans="6:8" x14ac:dyDescent="0.3">
      <c r="F751" t="s">
        <v>1161</v>
      </c>
      <c r="G751">
        <v>-460.666</v>
      </c>
      <c r="H751" t="s">
        <v>423</v>
      </c>
    </row>
    <row r="752" spans="6:8" x14ac:dyDescent="0.3">
      <c r="F752" t="s">
        <v>1162</v>
      </c>
      <c r="G752">
        <v>25.898</v>
      </c>
      <c r="H752" t="s">
        <v>423</v>
      </c>
    </row>
    <row r="753" spans="6:8" x14ac:dyDescent="0.3">
      <c r="F753" t="s">
        <v>1163</v>
      </c>
      <c r="G753">
        <v>785.45320000000004</v>
      </c>
      <c r="H753" t="s">
        <v>433</v>
      </c>
    </row>
    <row r="754" spans="6:8" x14ac:dyDescent="0.3">
      <c r="F754" t="s">
        <v>1164</v>
      </c>
      <c r="G754">
        <v>750.72839999999997</v>
      </c>
      <c r="H754" t="s">
        <v>433</v>
      </c>
    </row>
    <row r="755" spans="6:8" x14ac:dyDescent="0.3">
      <c r="F755" t="s">
        <v>1165</v>
      </c>
      <c r="G755">
        <v>499.851</v>
      </c>
      <c r="H755" t="s">
        <v>427</v>
      </c>
    </row>
    <row r="756" spans="6:8" x14ac:dyDescent="0.3">
      <c r="F756" t="s">
        <v>1166</v>
      </c>
      <c r="G756">
        <v>-166.00899999999999</v>
      </c>
      <c r="H756" t="s">
        <v>423</v>
      </c>
    </row>
    <row r="757" spans="6:8" x14ac:dyDescent="0.3">
      <c r="F757" t="s">
        <v>1167</v>
      </c>
      <c r="G757">
        <v>-474.74139999999989</v>
      </c>
      <c r="H757" t="s">
        <v>423</v>
      </c>
    </row>
    <row r="758" spans="6:8" x14ac:dyDescent="0.3">
      <c r="F758" t="s">
        <v>1168</v>
      </c>
      <c r="G758">
        <v>49.134599999999992</v>
      </c>
      <c r="H758" t="s">
        <v>423</v>
      </c>
    </row>
    <row r="759" spans="6:8" x14ac:dyDescent="0.3">
      <c r="F759" t="s">
        <v>1169</v>
      </c>
      <c r="G759">
        <v>204.3288</v>
      </c>
      <c r="H759" t="s">
        <v>427</v>
      </c>
    </row>
    <row r="760" spans="6:8" x14ac:dyDescent="0.3">
      <c r="F760" t="s">
        <v>1170</v>
      </c>
      <c r="G760">
        <v>-114.6764</v>
      </c>
      <c r="H760" t="s">
        <v>423</v>
      </c>
    </row>
    <row r="761" spans="6:8" x14ac:dyDescent="0.3">
      <c r="F761" t="s">
        <v>1171</v>
      </c>
      <c r="G761">
        <v>701.9799999999999</v>
      </c>
      <c r="H761" t="s">
        <v>433</v>
      </c>
    </row>
    <row r="762" spans="6:8" x14ac:dyDescent="0.3">
      <c r="F762" t="s">
        <v>1172</v>
      </c>
      <c r="G762">
        <v>267.30340000000001</v>
      </c>
      <c r="H762" t="s">
        <v>427</v>
      </c>
    </row>
    <row r="763" spans="6:8" x14ac:dyDescent="0.3">
      <c r="F763" t="s">
        <v>1173</v>
      </c>
      <c r="G763">
        <v>63.892899999999997</v>
      </c>
      <c r="H763" t="s">
        <v>423</v>
      </c>
    </row>
    <row r="764" spans="6:8" x14ac:dyDescent="0.3">
      <c r="F764" t="s">
        <v>1174</v>
      </c>
      <c r="G764">
        <v>854.78320000000008</v>
      </c>
      <c r="H764" t="s">
        <v>433</v>
      </c>
    </row>
    <row r="765" spans="6:8" x14ac:dyDescent="0.3">
      <c r="F765" t="s">
        <v>1175</v>
      </c>
      <c r="G765">
        <v>-246.3912</v>
      </c>
      <c r="H765" t="s">
        <v>423</v>
      </c>
    </row>
    <row r="766" spans="6:8" x14ac:dyDescent="0.3">
      <c r="F766" t="s">
        <v>1176</v>
      </c>
      <c r="G766">
        <v>493.70460000000003</v>
      </c>
      <c r="H766" t="s">
        <v>427</v>
      </c>
    </row>
    <row r="767" spans="6:8" x14ac:dyDescent="0.3">
      <c r="F767" t="s">
        <v>1177</v>
      </c>
      <c r="G767">
        <v>283.74740000000003</v>
      </c>
      <c r="H767" t="s">
        <v>427</v>
      </c>
    </row>
    <row r="768" spans="6:8" x14ac:dyDescent="0.3">
      <c r="F768" t="s">
        <v>1178</v>
      </c>
      <c r="G768">
        <v>125.0166</v>
      </c>
      <c r="H768" t="s">
        <v>427</v>
      </c>
    </row>
    <row r="769" spans="6:8" x14ac:dyDescent="0.3">
      <c r="F769" t="s">
        <v>1179</v>
      </c>
      <c r="G769">
        <v>44.165999999999997</v>
      </c>
      <c r="H769" t="s">
        <v>423</v>
      </c>
    </row>
    <row r="770" spans="6:8" x14ac:dyDescent="0.3">
      <c r="F770" t="s">
        <v>1180</v>
      </c>
      <c r="G770">
        <v>-1.7763568394002501E-15</v>
      </c>
      <c r="H770" t="s">
        <v>423</v>
      </c>
    </row>
    <row r="771" spans="6:8" x14ac:dyDescent="0.3">
      <c r="F771" t="s">
        <v>1181</v>
      </c>
      <c r="G771">
        <v>-80.406199999999998</v>
      </c>
      <c r="H771" t="s">
        <v>423</v>
      </c>
    </row>
    <row r="772" spans="6:8" x14ac:dyDescent="0.3">
      <c r="F772" t="s">
        <v>1182</v>
      </c>
      <c r="G772">
        <v>951.86199999999997</v>
      </c>
      <c r="H772" t="s">
        <v>433</v>
      </c>
    </row>
    <row r="773" spans="6:8" x14ac:dyDescent="0.3">
      <c r="F773" t="s">
        <v>1183</v>
      </c>
      <c r="G773">
        <v>197.89250000000001</v>
      </c>
      <c r="H773" t="s">
        <v>427</v>
      </c>
    </row>
    <row r="774" spans="6:8" x14ac:dyDescent="0.3">
      <c r="F774" t="s">
        <v>1184</v>
      </c>
      <c r="G774">
        <v>245.99700000000001</v>
      </c>
      <c r="H774" t="s">
        <v>427</v>
      </c>
    </row>
    <row r="775" spans="6:8" x14ac:dyDescent="0.3">
      <c r="F775" t="s">
        <v>1185</v>
      </c>
      <c r="G775">
        <v>-503.11939999999998</v>
      </c>
      <c r="H775" t="s">
        <v>423</v>
      </c>
    </row>
    <row r="776" spans="6:8" x14ac:dyDescent="0.3">
      <c r="F776" t="s">
        <v>1186</v>
      </c>
      <c r="G776">
        <v>164.86199999999999</v>
      </c>
      <c r="H776" t="s">
        <v>427</v>
      </c>
    </row>
    <row r="777" spans="6:8" x14ac:dyDescent="0.3">
      <c r="F777" t="s">
        <v>1187</v>
      </c>
      <c r="G777">
        <v>710.96050000000014</v>
      </c>
      <c r="H777" t="s">
        <v>433</v>
      </c>
    </row>
    <row r="778" spans="6:8" x14ac:dyDescent="0.3">
      <c r="F778" t="s">
        <v>1188</v>
      </c>
      <c r="G778">
        <v>-172.94120000000001</v>
      </c>
      <c r="H778" t="s">
        <v>423</v>
      </c>
    </row>
    <row r="779" spans="6:8" x14ac:dyDescent="0.3">
      <c r="F779" t="s">
        <v>1189</v>
      </c>
      <c r="G779">
        <v>-63.587999999999987</v>
      </c>
      <c r="H779" t="s">
        <v>423</v>
      </c>
    </row>
    <row r="780" spans="6:8" x14ac:dyDescent="0.3">
      <c r="F780" t="s">
        <v>1190</v>
      </c>
      <c r="G780">
        <v>157.7056</v>
      </c>
      <c r="H780" t="s">
        <v>427</v>
      </c>
    </row>
    <row r="781" spans="6:8" x14ac:dyDescent="0.3">
      <c r="F781" t="s">
        <v>1191</v>
      </c>
      <c r="G781">
        <v>45.894000000000013</v>
      </c>
      <c r="H781" t="s">
        <v>423</v>
      </c>
    </row>
    <row r="782" spans="6:8" x14ac:dyDescent="0.3">
      <c r="F782" t="s">
        <v>1192</v>
      </c>
      <c r="G782">
        <v>64.584000000000003</v>
      </c>
      <c r="H782" t="s">
        <v>423</v>
      </c>
    </row>
    <row r="783" spans="6:8" x14ac:dyDescent="0.3">
      <c r="F783" t="s">
        <v>1193</v>
      </c>
      <c r="G783">
        <v>380.87279999999998</v>
      </c>
      <c r="H783" t="s">
        <v>427</v>
      </c>
    </row>
    <row r="784" spans="6:8" x14ac:dyDescent="0.3">
      <c r="F784" t="s">
        <v>1194</v>
      </c>
      <c r="G784">
        <v>162.63999999999999</v>
      </c>
      <c r="H784" t="s">
        <v>427</v>
      </c>
    </row>
    <row r="785" spans="6:8" x14ac:dyDescent="0.3">
      <c r="F785" t="s">
        <v>1195</v>
      </c>
      <c r="G785">
        <v>46.054400000000001</v>
      </c>
      <c r="H785" t="s">
        <v>423</v>
      </c>
    </row>
    <row r="786" spans="6:8" x14ac:dyDescent="0.3">
      <c r="F786" t="s">
        <v>1196</v>
      </c>
      <c r="G786">
        <v>17.992000000000001</v>
      </c>
      <c r="H786" t="s">
        <v>423</v>
      </c>
    </row>
    <row r="787" spans="6:8" x14ac:dyDescent="0.3">
      <c r="F787" t="s">
        <v>1197</v>
      </c>
      <c r="G787">
        <v>2.3868</v>
      </c>
      <c r="H787" t="s">
        <v>423</v>
      </c>
    </row>
    <row r="788" spans="6:8" x14ac:dyDescent="0.3">
      <c r="F788" t="s">
        <v>1198</v>
      </c>
      <c r="G788">
        <v>773.2607999999999</v>
      </c>
      <c r="H788" t="s">
        <v>433</v>
      </c>
    </row>
    <row r="789" spans="6:8" x14ac:dyDescent="0.3">
      <c r="F789" t="s">
        <v>33</v>
      </c>
      <c r="G789">
        <v>5.6843418860808009E-14</v>
      </c>
      <c r="H789" t="s">
        <v>423</v>
      </c>
    </row>
    <row r="790" spans="6:8" x14ac:dyDescent="0.3">
      <c r="F790" t="s">
        <v>37</v>
      </c>
      <c r="G790">
        <v>4094.9766</v>
      </c>
      <c r="H790" t="s">
        <v>433</v>
      </c>
    </row>
    <row r="791" spans="6:8" x14ac:dyDescent="0.3">
      <c r="F791" t="s">
        <v>1199</v>
      </c>
      <c r="G791">
        <v>38.209600000000002</v>
      </c>
      <c r="H791" t="s">
        <v>423</v>
      </c>
    </row>
    <row r="792" spans="6:8" x14ac:dyDescent="0.3">
      <c r="F792" t="s">
        <v>1200</v>
      </c>
      <c r="G792">
        <v>50.343799999999987</v>
      </c>
      <c r="H792" t="s">
        <v>423</v>
      </c>
    </row>
    <row r="793" spans="6:8" x14ac:dyDescent="0.3">
      <c r="F793" t="s">
        <v>1201</v>
      </c>
      <c r="G793">
        <v>47.9968</v>
      </c>
      <c r="H793" t="s">
        <v>423</v>
      </c>
    </row>
    <row r="794" spans="6:8" x14ac:dyDescent="0.3">
      <c r="F794" t="s">
        <v>1202</v>
      </c>
      <c r="G794">
        <v>58</v>
      </c>
      <c r="H794" t="s">
        <v>423</v>
      </c>
    </row>
    <row r="795" spans="6:8" x14ac:dyDescent="0.3">
      <c r="F795" t="s">
        <v>1203</v>
      </c>
      <c r="G795">
        <v>125.98739999999999</v>
      </c>
      <c r="H795" t="s">
        <v>427</v>
      </c>
    </row>
    <row r="796" spans="6:8" x14ac:dyDescent="0.3">
      <c r="F796" t="s">
        <v>1204</v>
      </c>
      <c r="G796">
        <v>317.4948</v>
      </c>
      <c r="H796" t="s">
        <v>427</v>
      </c>
    </row>
    <row r="797" spans="6:8" x14ac:dyDescent="0.3">
      <c r="F797" t="s">
        <v>1205</v>
      </c>
      <c r="G797">
        <v>13.486499999999999</v>
      </c>
      <c r="H797" t="s">
        <v>423</v>
      </c>
    </row>
    <row r="798" spans="6:8" x14ac:dyDescent="0.3">
      <c r="F798" t="s">
        <v>1206</v>
      </c>
      <c r="G798">
        <v>15.089399999999999</v>
      </c>
      <c r="H798" t="s">
        <v>423</v>
      </c>
    </row>
    <row r="799" spans="6:8" x14ac:dyDescent="0.3">
      <c r="F799" t="s">
        <v>1207</v>
      </c>
      <c r="G799">
        <v>68.460000000000008</v>
      </c>
      <c r="H799" t="s">
        <v>423</v>
      </c>
    </row>
    <row r="800" spans="6:8" x14ac:dyDescent="0.3">
      <c r="F800" t="s">
        <v>1208</v>
      </c>
      <c r="G800">
        <v>51.025000000000013</v>
      </c>
      <c r="H800" t="s">
        <v>423</v>
      </c>
    </row>
    <row r="801" spans="6:8" x14ac:dyDescent="0.3">
      <c r="F801" t="s">
        <v>1209</v>
      </c>
      <c r="G801">
        <v>254.82440000000011</v>
      </c>
      <c r="H801" t="s">
        <v>427</v>
      </c>
    </row>
    <row r="802" spans="6:8" x14ac:dyDescent="0.3">
      <c r="F802" t="s">
        <v>1210</v>
      </c>
      <c r="G802">
        <v>336.375</v>
      </c>
      <c r="H802" t="s">
        <v>427</v>
      </c>
    </row>
    <row r="803" spans="6:8" x14ac:dyDescent="0.3">
      <c r="F803" t="s">
        <v>1211</v>
      </c>
      <c r="G803">
        <v>374.22</v>
      </c>
      <c r="H803" t="s">
        <v>427</v>
      </c>
    </row>
    <row r="804" spans="6:8" x14ac:dyDescent="0.3">
      <c r="F804" t="s">
        <v>1212</v>
      </c>
      <c r="G804">
        <v>37.44</v>
      </c>
      <c r="H804" t="s">
        <v>423</v>
      </c>
    </row>
    <row r="805" spans="6:8" x14ac:dyDescent="0.3">
      <c r="F805" t="s">
        <v>1213</v>
      </c>
      <c r="G805">
        <v>9.0552999999999972</v>
      </c>
      <c r="H805" t="s">
        <v>423</v>
      </c>
    </row>
    <row r="806" spans="6:8" x14ac:dyDescent="0.3">
      <c r="F806" t="s">
        <v>1214</v>
      </c>
      <c r="G806">
        <v>839.97199999999998</v>
      </c>
      <c r="H806" t="s">
        <v>433</v>
      </c>
    </row>
    <row r="807" spans="6:8" x14ac:dyDescent="0.3">
      <c r="F807" t="s">
        <v>1215</v>
      </c>
      <c r="G807">
        <v>3124.9375</v>
      </c>
      <c r="H807" t="s">
        <v>433</v>
      </c>
    </row>
    <row r="808" spans="6:8" x14ac:dyDescent="0.3">
      <c r="F808" t="s">
        <v>36</v>
      </c>
      <c r="G808">
        <v>6983.8836000000001</v>
      </c>
      <c r="H808" t="s">
        <v>433</v>
      </c>
    </row>
    <row r="809" spans="6:8" x14ac:dyDescent="0.3">
      <c r="F809" t="s">
        <v>1216</v>
      </c>
      <c r="G809">
        <v>60.305999999999997</v>
      </c>
      <c r="H809" t="s">
        <v>423</v>
      </c>
    </row>
    <row r="810" spans="6:8" x14ac:dyDescent="0.3">
      <c r="F810" t="s">
        <v>1217</v>
      </c>
      <c r="G810">
        <v>1459.2</v>
      </c>
      <c r="H810" t="s">
        <v>433</v>
      </c>
    </row>
    <row r="811" spans="6:8" x14ac:dyDescent="0.3">
      <c r="F811" t="s">
        <v>1218</v>
      </c>
      <c r="G811">
        <v>49.761000000000003</v>
      </c>
      <c r="H811" t="s">
        <v>423</v>
      </c>
    </row>
    <row r="812" spans="6:8" x14ac:dyDescent="0.3">
      <c r="F812" t="s">
        <v>1219</v>
      </c>
      <c r="G812">
        <v>139.62100000000001</v>
      </c>
      <c r="H812" t="s">
        <v>427</v>
      </c>
    </row>
    <row r="813" spans="6:8" x14ac:dyDescent="0.3">
      <c r="F813" t="s">
        <v>1220</v>
      </c>
      <c r="G813">
        <v>139.99</v>
      </c>
      <c r="H813" t="s">
        <v>427</v>
      </c>
    </row>
    <row r="814" spans="6:8" x14ac:dyDescent="0.3">
      <c r="F814" t="s">
        <v>1221</v>
      </c>
      <c r="G814">
        <v>-71.395799999999994</v>
      </c>
      <c r="H814" t="s">
        <v>423</v>
      </c>
    </row>
    <row r="815" spans="6:8" x14ac:dyDescent="0.3">
      <c r="F815" t="s">
        <v>1222</v>
      </c>
      <c r="G815">
        <v>1668.2049999999999</v>
      </c>
      <c r="H815" t="s">
        <v>433</v>
      </c>
    </row>
    <row r="816" spans="6:8" x14ac:dyDescent="0.3">
      <c r="F816" t="s">
        <v>39</v>
      </c>
      <c r="G816">
        <v>-262.00479999999999</v>
      </c>
      <c r="H816" t="s">
        <v>423</v>
      </c>
    </row>
    <row r="817" spans="6:8" x14ac:dyDescent="0.3">
      <c r="F817" t="s">
        <v>1223</v>
      </c>
      <c r="G817">
        <v>-197.5848</v>
      </c>
      <c r="H817" t="s">
        <v>423</v>
      </c>
    </row>
    <row r="818" spans="6:8" x14ac:dyDescent="0.3">
      <c r="F818" t="s">
        <v>1224</v>
      </c>
      <c r="G818">
        <v>86.8566</v>
      </c>
      <c r="H818" t="s">
        <v>423</v>
      </c>
    </row>
    <row r="819" spans="6:8" x14ac:dyDescent="0.3">
      <c r="F819" t="s">
        <v>1225</v>
      </c>
      <c r="G819">
        <v>48.755000000000003</v>
      </c>
      <c r="H819" t="s">
        <v>423</v>
      </c>
    </row>
    <row r="820" spans="6:8" x14ac:dyDescent="0.3">
      <c r="F820" t="s">
        <v>1226</v>
      </c>
      <c r="G820">
        <v>41.382000000000012</v>
      </c>
      <c r="H820" t="s">
        <v>423</v>
      </c>
    </row>
    <row r="821" spans="6:8" x14ac:dyDescent="0.3">
      <c r="F821" t="s">
        <v>1227</v>
      </c>
      <c r="G821">
        <v>290.30160000000001</v>
      </c>
      <c r="H821" t="s">
        <v>427</v>
      </c>
    </row>
    <row r="822" spans="6:8" x14ac:dyDescent="0.3">
      <c r="F822" t="s">
        <v>1228</v>
      </c>
      <c r="G822">
        <v>67.774000000000001</v>
      </c>
      <c r="H822" t="s">
        <v>423</v>
      </c>
    </row>
    <row r="823" spans="6:8" x14ac:dyDescent="0.3">
      <c r="F823" t="s">
        <v>1229</v>
      </c>
      <c r="G823">
        <v>47.984399999999987</v>
      </c>
      <c r="H823" t="s">
        <v>423</v>
      </c>
    </row>
    <row r="824" spans="6:8" x14ac:dyDescent="0.3">
      <c r="F824" t="s">
        <v>1230</v>
      </c>
      <c r="G824">
        <v>87.694199999999995</v>
      </c>
      <c r="H824" t="s">
        <v>423</v>
      </c>
    </row>
    <row r="825" spans="6:8" x14ac:dyDescent="0.3">
      <c r="F825" t="s">
        <v>1231</v>
      </c>
      <c r="G825">
        <v>381.20740000000001</v>
      </c>
      <c r="H825" t="s">
        <v>427</v>
      </c>
    </row>
    <row r="826" spans="6:8" x14ac:dyDescent="0.3">
      <c r="F826" t="s">
        <v>1232</v>
      </c>
      <c r="G826">
        <v>10.188000000000001</v>
      </c>
      <c r="H826" t="s">
        <v>423</v>
      </c>
    </row>
    <row r="827" spans="6:8" x14ac:dyDescent="0.3">
      <c r="F827" t="s">
        <v>1233</v>
      </c>
      <c r="G827">
        <v>198.13200000000001</v>
      </c>
      <c r="H827" t="s">
        <v>427</v>
      </c>
    </row>
    <row r="828" spans="6:8" x14ac:dyDescent="0.3">
      <c r="F828" t="s">
        <v>1234</v>
      </c>
      <c r="G828">
        <v>-989.04959999999994</v>
      </c>
      <c r="H828" t="s">
        <v>423</v>
      </c>
    </row>
    <row r="829" spans="6:8" x14ac:dyDescent="0.3">
      <c r="F829" t="s">
        <v>1235</v>
      </c>
      <c r="G829">
        <v>-401.99040000000002</v>
      </c>
      <c r="H829" t="s">
        <v>423</v>
      </c>
    </row>
    <row r="830" spans="6:8" x14ac:dyDescent="0.3">
      <c r="F830" t="s">
        <v>1236</v>
      </c>
      <c r="G830">
        <v>-115.3074</v>
      </c>
      <c r="H830" t="s">
        <v>423</v>
      </c>
    </row>
    <row r="831" spans="6:8" x14ac:dyDescent="0.3">
      <c r="F831" t="s">
        <v>1237</v>
      </c>
      <c r="G831">
        <v>-177.35120000000001</v>
      </c>
      <c r="H831" t="s">
        <v>423</v>
      </c>
    </row>
    <row r="832" spans="6:8" x14ac:dyDescent="0.3">
      <c r="F832" t="s">
        <v>1238</v>
      </c>
      <c r="G832">
        <v>-191.86200000000011</v>
      </c>
      <c r="H832" t="s">
        <v>423</v>
      </c>
    </row>
    <row r="833" spans="6:8" x14ac:dyDescent="0.3">
      <c r="F833" t="s">
        <v>1239</v>
      </c>
      <c r="G833">
        <v>96.285600000000002</v>
      </c>
      <c r="H833" t="s">
        <v>423</v>
      </c>
    </row>
    <row r="834" spans="6:8" x14ac:dyDescent="0.3">
      <c r="F834" t="s">
        <v>1240</v>
      </c>
      <c r="G834">
        <v>1388.6348</v>
      </c>
      <c r="H834" t="s">
        <v>433</v>
      </c>
    </row>
    <row r="835" spans="6:8" x14ac:dyDescent="0.3">
      <c r="F835" t="s">
        <v>1241</v>
      </c>
      <c r="G835">
        <v>1052.8144</v>
      </c>
      <c r="H835" t="s">
        <v>433</v>
      </c>
    </row>
    <row r="836" spans="6:8" x14ac:dyDescent="0.3">
      <c r="F836" t="s">
        <v>1242</v>
      </c>
      <c r="G836">
        <v>832.99320000000012</v>
      </c>
      <c r="H836" t="s">
        <v>433</v>
      </c>
    </row>
    <row r="837" spans="6:8" x14ac:dyDescent="0.3">
      <c r="F837" t="s">
        <v>1243</v>
      </c>
      <c r="G837">
        <v>-238.6036</v>
      </c>
      <c r="H837" t="s">
        <v>423</v>
      </c>
    </row>
    <row r="838" spans="6:8" x14ac:dyDescent="0.3">
      <c r="F838" t="s">
        <v>1244</v>
      </c>
      <c r="G838">
        <v>-148.39619999999999</v>
      </c>
      <c r="H838" t="s">
        <v>423</v>
      </c>
    </row>
    <row r="839" spans="6:8" x14ac:dyDescent="0.3">
      <c r="F839" t="s">
        <v>1245</v>
      </c>
      <c r="G839">
        <v>-681.21399999999994</v>
      </c>
      <c r="H839" t="s">
        <v>423</v>
      </c>
    </row>
    <row r="840" spans="6:8" x14ac:dyDescent="0.3">
      <c r="F840" t="s">
        <v>1246</v>
      </c>
      <c r="G840">
        <v>-36.473599999999998</v>
      </c>
      <c r="H840" t="s">
        <v>423</v>
      </c>
    </row>
    <row r="841" spans="6:8" x14ac:dyDescent="0.3">
      <c r="F841" t="s">
        <v>1247</v>
      </c>
      <c r="G841">
        <v>-48.795999999999999</v>
      </c>
      <c r="H841" t="s">
        <v>423</v>
      </c>
    </row>
    <row r="842" spans="6:8" x14ac:dyDescent="0.3">
      <c r="F842" t="s">
        <v>1248</v>
      </c>
      <c r="G842">
        <v>1927.442</v>
      </c>
      <c r="H842" t="s">
        <v>433</v>
      </c>
    </row>
    <row r="843" spans="6:8" x14ac:dyDescent="0.3">
      <c r="F843" t="s">
        <v>1249</v>
      </c>
      <c r="G843">
        <v>73.194000000000003</v>
      </c>
      <c r="H843" t="s">
        <v>423</v>
      </c>
    </row>
    <row r="844" spans="6:8" x14ac:dyDescent="0.3">
      <c r="F844" t="s">
        <v>1250</v>
      </c>
      <c r="G844">
        <v>12.098000000000001</v>
      </c>
      <c r="H844" t="s">
        <v>423</v>
      </c>
    </row>
    <row r="845" spans="6:8" x14ac:dyDescent="0.3">
      <c r="F845" t="s">
        <v>1251</v>
      </c>
      <c r="G845">
        <v>281.97000000000003</v>
      </c>
      <c r="H845" t="s">
        <v>427</v>
      </c>
    </row>
    <row r="846" spans="6:8" x14ac:dyDescent="0.3">
      <c r="F846" t="s">
        <v>1252</v>
      </c>
      <c r="G846">
        <v>1233.0848000000001</v>
      </c>
      <c r="H846" t="s">
        <v>433</v>
      </c>
    </row>
    <row r="847" spans="6:8" x14ac:dyDescent="0.3">
      <c r="F847" t="s">
        <v>1253</v>
      </c>
      <c r="G847">
        <v>-26.97239999999999</v>
      </c>
      <c r="H847" t="s">
        <v>423</v>
      </c>
    </row>
    <row r="848" spans="6:8" x14ac:dyDescent="0.3">
      <c r="F848" t="s">
        <v>1254</v>
      </c>
      <c r="G848">
        <v>229.9752</v>
      </c>
      <c r="H848" t="s">
        <v>427</v>
      </c>
    </row>
    <row r="849" spans="6:8" x14ac:dyDescent="0.3">
      <c r="F849" t="s">
        <v>1255</v>
      </c>
      <c r="G849">
        <v>362.70780000000008</v>
      </c>
      <c r="H849" t="s">
        <v>427</v>
      </c>
    </row>
    <row r="850" spans="6:8" x14ac:dyDescent="0.3">
      <c r="F850" t="s">
        <v>1256</v>
      </c>
      <c r="G850">
        <v>499.33940000000001</v>
      </c>
      <c r="H850" t="s">
        <v>427</v>
      </c>
    </row>
    <row r="851" spans="6:8" x14ac:dyDescent="0.3">
      <c r="F851" t="s">
        <v>1257</v>
      </c>
      <c r="G851">
        <v>814.41599999999994</v>
      </c>
      <c r="H851" t="s">
        <v>433</v>
      </c>
    </row>
    <row r="852" spans="6:8" x14ac:dyDescent="0.3">
      <c r="F852" t="s">
        <v>1258</v>
      </c>
      <c r="G852">
        <v>541.654</v>
      </c>
      <c r="H852" t="s">
        <v>433</v>
      </c>
    </row>
    <row r="853" spans="6:8" x14ac:dyDescent="0.3">
      <c r="F853" t="s">
        <v>1259</v>
      </c>
      <c r="G853">
        <v>1292.1264000000001</v>
      </c>
      <c r="H853" t="s">
        <v>433</v>
      </c>
    </row>
    <row r="854" spans="6:8" x14ac:dyDescent="0.3">
      <c r="F854" t="s">
        <v>1260</v>
      </c>
      <c r="G854">
        <v>833.59519999999998</v>
      </c>
      <c r="H854" t="s">
        <v>433</v>
      </c>
    </row>
    <row r="855" spans="6:8" x14ac:dyDescent="0.3">
      <c r="F855" t="s">
        <v>1261</v>
      </c>
      <c r="G855">
        <v>1540.704</v>
      </c>
      <c r="H855" t="s">
        <v>433</v>
      </c>
    </row>
    <row r="856" spans="6:8" x14ac:dyDescent="0.3">
      <c r="F856" t="s">
        <v>1262</v>
      </c>
      <c r="G856">
        <v>430.06950000000001</v>
      </c>
      <c r="H856" t="s">
        <v>427</v>
      </c>
    </row>
    <row r="857" spans="6:8" x14ac:dyDescent="0.3">
      <c r="F857" t="s">
        <v>1263</v>
      </c>
      <c r="G857">
        <v>-598.52279999999996</v>
      </c>
      <c r="H857" t="s">
        <v>423</v>
      </c>
    </row>
    <row r="858" spans="6:8" x14ac:dyDescent="0.3">
      <c r="F858" t="s">
        <v>1264</v>
      </c>
      <c r="G858">
        <v>-295.815</v>
      </c>
      <c r="H858" t="s">
        <v>423</v>
      </c>
    </row>
    <row r="859" spans="6:8" x14ac:dyDescent="0.3">
      <c r="F859" t="s">
        <v>1265</v>
      </c>
      <c r="G859">
        <v>139.35239999999999</v>
      </c>
      <c r="H859" t="s">
        <v>427</v>
      </c>
    </row>
    <row r="860" spans="6:8" x14ac:dyDescent="0.3">
      <c r="F860" t="s">
        <v>1266</v>
      </c>
      <c r="G860">
        <v>-177.22319999999999</v>
      </c>
      <c r="H860" t="s">
        <v>423</v>
      </c>
    </row>
    <row r="861" spans="6:8" x14ac:dyDescent="0.3">
      <c r="F861" t="s">
        <v>1267</v>
      </c>
      <c r="G861">
        <v>1503.5201999999999</v>
      </c>
      <c r="H861" t="s">
        <v>433</v>
      </c>
    </row>
    <row r="862" spans="6:8" x14ac:dyDescent="0.3">
      <c r="F862" t="s">
        <v>1268</v>
      </c>
      <c r="G862">
        <v>3247.02</v>
      </c>
      <c r="H862" t="s">
        <v>433</v>
      </c>
    </row>
    <row r="863" spans="6:8" x14ac:dyDescent="0.3">
      <c r="F863" t="s">
        <v>1269</v>
      </c>
      <c r="G863">
        <v>417.02440000000001</v>
      </c>
      <c r="H863" t="s">
        <v>427</v>
      </c>
    </row>
    <row r="864" spans="6:8" x14ac:dyDescent="0.3">
      <c r="F864" t="s">
        <v>1270</v>
      </c>
      <c r="G864">
        <v>549.76350000000002</v>
      </c>
      <c r="H864" t="s">
        <v>433</v>
      </c>
    </row>
    <row r="865" spans="6:8" x14ac:dyDescent="0.3">
      <c r="F865" t="s">
        <v>1271</v>
      </c>
      <c r="G865">
        <v>-2.5055999999999998</v>
      </c>
      <c r="H865" t="s">
        <v>423</v>
      </c>
    </row>
    <row r="866" spans="6:8" x14ac:dyDescent="0.3">
      <c r="F866" t="s">
        <v>1272</v>
      </c>
      <c r="G866">
        <v>-9.3032000000000039</v>
      </c>
      <c r="H866" t="s">
        <v>423</v>
      </c>
    </row>
    <row r="867" spans="6:8" x14ac:dyDescent="0.3">
      <c r="F867" t="s">
        <v>1273</v>
      </c>
      <c r="G867">
        <v>-10.411799999999999</v>
      </c>
      <c r="H867" t="s">
        <v>423</v>
      </c>
    </row>
    <row r="868" spans="6:8" x14ac:dyDescent="0.3">
      <c r="F868" t="s">
        <v>1274</v>
      </c>
      <c r="G868">
        <v>35.308</v>
      </c>
      <c r="H868" t="s">
        <v>423</v>
      </c>
    </row>
    <row r="869" spans="6:8" x14ac:dyDescent="0.3">
      <c r="F869" t="s">
        <v>1275</v>
      </c>
      <c r="G869">
        <v>1.343999999999999</v>
      </c>
      <c r="H869" t="s">
        <v>423</v>
      </c>
    </row>
    <row r="870" spans="6:8" x14ac:dyDescent="0.3">
      <c r="F870" t="s">
        <v>1276</v>
      </c>
      <c r="G870">
        <v>0.44399999999999989</v>
      </c>
      <c r="H870" t="s">
        <v>423</v>
      </c>
    </row>
    <row r="871" spans="6:8" x14ac:dyDescent="0.3">
      <c r="F871" t="s">
        <v>1277</v>
      </c>
      <c r="G871">
        <v>3.476</v>
      </c>
      <c r="H871" t="s">
        <v>423</v>
      </c>
    </row>
    <row r="872" spans="6:8" x14ac:dyDescent="0.3">
      <c r="F872" t="s">
        <v>1278</v>
      </c>
      <c r="G872">
        <v>715.64</v>
      </c>
      <c r="H872" t="s">
        <v>433</v>
      </c>
    </row>
    <row r="873" spans="6:8" x14ac:dyDescent="0.3">
      <c r="F873" t="s">
        <v>1279</v>
      </c>
      <c r="G873">
        <v>460.35269999999991</v>
      </c>
      <c r="H873" t="s">
        <v>427</v>
      </c>
    </row>
    <row r="874" spans="6:8" x14ac:dyDescent="0.3">
      <c r="F874" t="s">
        <v>1280</v>
      </c>
      <c r="G874">
        <v>697.44</v>
      </c>
      <c r="H874" t="s">
        <v>433</v>
      </c>
    </row>
    <row r="875" spans="6:8" x14ac:dyDescent="0.3">
      <c r="F875" t="s">
        <v>1281</v>
      </c>
      <c r="G875">
        <v>2016.711</v>
      </c>
      <c r="H875" t="s">
        <v>433</v>
      </c>
    </row>
    <row r="876" spans="6:8" x14ac:dyDescent="0.3">
      <c r="F876" t="s">
        <v>1282</v>
      </c>
      <c r="G876">
        <v>256.19220000000001</v>
      </c>
      <c r="H876" t="s">
        <v>427</v>
      </c>
    </row>
    <row r="877" spans="6:8" x14ac:dyDescent="0.3">
      <c r="F877" t="s">
        <v>1283</v>
      </c>
      <c r="G877">
        <v>101.7868</v>
      </c>
      <c r="H877" t="s">
        <v>427</v>
      </c>
    </row>
    <row r="878" spans="6:8" x14ac:dyDescent="0.3">
      <c r="F878" t="s">
        <v>1284</v>
      </c>
      <c r="G878">
        <v>448.76159999999987</v>
      </c>
      <c r="H878" t="s">
        <v>427</v>
      </c>
    </row>
    <row r="879" spans="6:8" x14ac:dyDescent="0.3">
      <c r="F879" t="s">
        <v>1285</v>
      </c>
      <c r="G879">
        <v>127.2996</v>
      </c>
      <c r="H879" t="s">
        <v>427</v>
      </c>
    </row>
    <row r="880" spans="6:8" x14ac:dyDescent="0.3">
      <c r="F880" t="s">
        <v>1286</v>
      </c>
      <c r="G880">
        <v>147.93719999999999</v>
      </c>
      <c r="H880" t="s">
        <v>427</v>
      </c>
    </row>
    <row r="881" spans="6:8" x14ac:dyDescent="0.3">
      <c r="F881" t="s">
        <v>1287</v>
      </c>
      <c r="G881">
        <v>294.31380000000001</v>
      </c>
      <c r="H881" t="s">
        <v>427</v>
      </c>
    </row>
    <row r="882" spans="6:8" x14ac:dyDescent="0.3">
      <c r="F882" t="s">
        <v>1288</v>
      </c>
      <c r="G882">
        <v>340.51420000000002</v>
      </c>
      <c r="H882" t="s">
        <v>427</v>
      </c>
    </row>
    <row r="883" spans="6:8" x14ac:dyDescent="0.3">
      <c r="F883" t="s">
        <v>1289</v>
      </c>
      <c r="G883">
        <v>247.572</v>
      </c>
      <c r="H883" t="s">
        <v>427</v>
      </c>
    </row>
    <row r="884" spans="6:8" x14ac:dyDescent="0.3">
      <c r="F884" t="s">
        <v>1290</v>
      </c>
      <c r="G884">
        <v>201.82499999999999</v>
      </c>
      <c r="H884" t="s">
        <v>427</v>
      </c>
    </row>
    <row r="885" spans="6:8" x14ac:dyDescent="0.3">
      <c r="F885" t="s">
        <v>1291</v>
      </c>
      <c r="G885">
        <v>375.96719999999999</v>
      </c>
      <c r="H885" t="s">
        <v>427</v>
      </c>
    </row>
    <row r="886" spans="6:8" x14ac:dyDescent="0.3">
      <c r="F886" t="s">
        <v>1292</v>
      </c>
      <c r="G886">
        <v>107.4192</v>
      </c>
      <c r="H886" t="s">
        <v>427</v>
      </c>
    </row>
    <row r="887" spans="6:8" x14ac:dyDescent="0.3">
      <c r="F887" t="s">
        <v>1293</v>
      </c>
      <c r="G887">
        <v>192.21420000000001</v>
      </c>
      <c r="H887" t="s">
        <v>427</v>
      </c>
    </row>
    <row r="888" spans="6:8" x14ac:dyDescent="0.3">
      <c r="F888" t="s">
        <v>1294</v>
      </c>
      <c r="G888">
        <v>111.30240000000001</v>
      </c>
      <c r="H888" t="s">
        <v>427</v>
      </c>
    </row>
    <row r="889" spans="6:8" x14ac:dyDescent="0.3">
      <c r="F889" t="s">
        <v>1295</v>
      </c>
      <c r="G889">
        <v>15.8576</v>
      </c>
      <c r="H889" t="s">
        <v>423</v>
      </c>
    </row>
    <row r="890" spans="6:8" x14ac:dyDescent="0.3">
      <c r="F890" t="s">
        <v>1296</v>
      </c>
      <c r="G890">
        <v>153.95599999999999</v>
      </c>
      <c r="H890" t="s">
        <v>427</v>
      </c>
    </row>
    <row r="891" spans="6:8" x14ac:dyDescent="0.3">
      <c r="F891" t="s">
        <v>1297</v>
      </c>
      <c r="G891">
        <v>448.16399999999999</v>
      </c>
      <c r="H891" t="s">
        <v>427</v>
      </c>
    </row>
    <row r="892" spans="6:8" x14ac:dyDescent="0.3">
      <c r="F892" t="s">
        <v>1298</v>
      </c>
      <c r="G892">
        <v>275.31000000000012</v>
      </c>
      <c r="H892" t="s">
        <v>427</v>
      </c>
    </row>
    <row r="893" spans="6:8" x14ac:dyDescent="0.3">
      <c r="F893" t="s">
        <v>1299</v>
      </c>
      <c r="G893">
        <v>95.201600000000013</v>
      </c>
      <c r="H893" t="s">
        <v>423</v>
      </c>
    </row>
    <row r="894" spans="6:8" x14ac:dyDescent="0.3">
      <c r="F894" t="s">
        <v>1300</v>
      </c>
      <c r="G894">
        <v>152.0883</v>
      </c>
      <c r="H894" t="s">
        <v>427</v>
      </c>
    </row>
    <row r="895" spans="6:8" x14ac:dyDescent="0.3">
      <c r="F895" t="s">
        <v>1301</v>
      </c>
      <c r="G895">
        <v>185.88</v>
      </c>
      <c r="H895" t="s">
        <v>427</v>
      </c>
    </row>
    <row r="896" spans="6:8" x14ac:dyDescent="0.3">
      <c r="F896" t="s">
        <v>1302</v>
      </c>
      <c r="G896">
        <v>57.5</v>
      </c>
      <c r="H896" t="s">
        <v>423</v>
      </c>
    </row>
    <row r="897" spans="6:8" x14ac:dyDescent="0.3">
      <c r="F897" t="s">
        <v>1303</v>
      </c>
      <c r="G897">
        <v>1086.3771999999999</v>
      </c>
      <c r="H897" t="s">
        <v>433</v>
      </c>
    </row>
    <row r="898" spans="6:8" x14ac:dyDescent="0.3">
      <c r="F898" t="s">
        <v>1304</v>
      </c>
      <c r="G898">
        <v>3345.2822999999999</v>
      </c>
      <c r="H898" t="s">
        <v>433</v>
      </c>
    </row>
    <row r="899" spans="6:8" x14ac:dyDescent="0.3">
      <c r="F899" t="s">
        <v>1305</v>
      </c>
      <c r="G899">
        <v>-304.99</v>
      </c>
      <c r="H899" t="s">
        <v>423</v>
      </c>
    </row>
    <row r="900" spans="6:8" x14ac:dyDescent="0.3">
      <c r="F900" t="s">
        <v>1306</v>
      </c>
      <c r="G900">
        <v>2318.337</v>
      </c>
      <c r="H900" t="s">
        <v>433</v>
      </c>
    </row>
    <row r="901" spans="6:8" x14ac:dyDescent="0.3">
      <c r="F901" t="s">
        <v>1307</v>
      </c>
      <c r="G901">
        <v>138.33600000000001</v>
      </c>
      <c r="H901" t="s">
        <v>427</v>
      </c>
    </row>
    <row r="902" spans="6:8" x14ac:dyDescent="0.3">
      <c r="F902" t="s">
        <v>1308</v>
      </c>
      <c r="G902">
        <v>328.928</v>
      </c>
      <c r="H902" t="s">
        <v>427</v>
      </c>
    </row>
    <row r="903" spans="6:8" x14ac:dyDescent="0.3">
      <c r="F903" t="s">
        <v>1309</v>
      </c>
      <c r="G903">
        <v>21.5808</v>
      </c>
      <c r="H903" t="s">
        <v>423</v>
      </c>
    </row>
    <row r="904" spans="6:8" x14ac:dyDescent="0.3">
      <c r="F904" t="s">
        <v>1310</v>
      </c>
      <c r="G904">
        <v>15.084199999999999</v>
      </c>
      <c r="H904" t="s">
        <v>423</v>
      </c>
    </row>
    <row r="905" spans="6:8" x14ac:dyDescent="0.3">
      <c r="F905" t="s">
        <v>1311</v>
      </c>
      <c r="G905">
        <v>3.4539999999999971</v>
      </c>
      <c r="H905" t="s">
        <v>423</v>
      </c>
    </row>
    <row r="906" spans="6:8" x14ac:dyDescent="0.3">
      <c r="F906" t="s">
        <v>1312</v>
      </c>
      <c r="G906">
        <v>262.48320000000001</v>
      </c>
      <c r="H906" t="s">
        <v>427</v>
      </c>
    </row>
    <row r="907" spans="6:8" x14ac:dyDescent="0.3">
      <c r="F907" t="s">
        <v>1313</v>
      </c>
      <c r="G907">
        <v>104.8128</v>
      </c>
      <c r="H907" t="s">
        <v>427</v>
      </c>
    </row>
    <row r="908" spans="6:8" x14ac:dyDescent="0.3">
      <c r="F908" t="s">
        <v>1314</v>
      </c>
      <c r="G908">
        <v>1388.6081999999999</v>
      </c>
      <c r="H908" t="s">
        <v>433</v>
      </c>
    </row>
    <row r="909" spans="6:8" x14ac:dyDescent="0.3">
      <c r="F909" t="s">
        <v>1315</v>
      </c>
      <c r="G909">
        <v>253.83920000000001</v>
      </c>
      <c r="H909" t="s">
        <v>427</v>
      </c>
    </row>
    <row r="910" spans="6:8" x14ac:dyDescent="0.3">
      <c r="F910" t="s">
        <v>1316</v>
      </c>
      <c r="G910">
        <v>-392.54800000000012</v>
      </c>
      <c r="H910" t="s">
        <v>423</v>
      </c>
    </row>
    <row r="911" spans="6:8" x14ac:dyDescent="0.3">
      <c r="F911" t="s">
        <v>1317</v>
      </c>
      <c r="G911">
        <v>24.863700000000001</v>
      </c>
      <c r="H911" t="s">
        <v>423</v>
      </c>
    </row>
    <row r="912" spans="6:8" x14ac:dyDescent="0.3">
      <c r="F912" t="s">
        <v>1318</v>
      </c>
      <c r="G912">
        <v>881.52959999999996</v>
      </c>
      <c r="H912" t="s">
        <v>433</v>
      </c>
    </row>
    <row r="913" spans="6:8" x14ac:dyDescent="0.3">
      <c r="F913" t="s">
        <v>1319</v>
      </c>
      <c r="G913">
        <v>398.976</v>
      </c>
      <c r="H913" t="s">
        <v>427</v>
      </c>
    </row>
    <row r="914" spans="6:8" x14ac:dyDescent="0.3">
      <c r="F914" t="s">
        <v>1320</v>
      </c>
      <c r="G914">
        <v>342.56420000000003</v>
      </c>
      <c r="H914" t="s">
        <v>427</v>
      </c>
    </row>
    <row r="915" spans="6:8" x14ac:dyDescent="0.3">
      <c r="F915" t="s">
        <v>1321</v>
      </c>
      <c r="G915">
        <v>8.5560000000000009</v>
      </c>
      <c r="H915" t="s">
        <v>423</v>
      </c>
    </row>
    <row r="916" spans="6:8" x14ac:dyDescent="0.3">
      <c r="F916" t="s">
        <v>1322</v>
      </c>
      <c r="G916">
        <v>143.76</v>
      </c>
      <c r="H916" t="s">
        <v>427</v>
      </c>
    </row>
    <row r="917" spans="6:8" x14ac:dyDescent="0.3">
      <c r="F917" t="s">
        <v>1323</v>
      </c>
      <c r="G917">
        <v>8.7551000000000005</v>
      </c>
      <c r="H917" t="s">
        <v>423</v>
      </c>
    </row>
    <row r="918" spans="6:8" x14ac:dyDescent="0.3">
      <c r="F918" t="s">
        <v>1324</v>
      </c>
      <c r="G918">
        <v>23.25</v>
      </c>
      <c r="H918" t="s">
        <v>423</v>
      </c>
    </row>
    <row r="919" spans="6:8" x14ac:dyDescent="0.3">
      <c r="F919" t="s">
        <v>1325</v>
      </c>
      <c r="G919">
        <v>1.879999999999997</v>
      </c>
      <c r="H919" t="s">
        <v>423</v>
      </c>
    </row>
    <row r="920" spans="6:8" x14ac:dyDescent="0.3">
      <c r="F920" t="s">
        <v>1326</v>
      </c>
      <c r="G920">
        <v>408.74400000000003</v>
      </c>
      <c r="H920" t="s">
        <v>427</v>
      </c>
    </row>
    <row r="921" spans="6:8" x14ac:dyDescent="0.3">
      <c r="F921" t="s">
        <v>1327</v>
      </c>
      <c r="G921">
        <v>196.0284</v>
      </c>
      <c r="H921" t="s">
        <v>427</v>
      </c>
    </row>
    <row r="922" spans="6:8" x14ac:dyDescent="0.3">
      <c r="F922" t="s">
        <v>1328</v>
      </c>
      <c r="G922">
        <v>17.6235</v>
      </c>
      <c r="H922" t="s">
        <v>423</v>
      </c>
    </row>
    <row r="923" spans="6:8" x14ac:dyDescent="0.3">
      <c r="F923" t="s">
        <v>1329</v>
      </c>
      <c r="G923">
        <v>8.9082000000000008</v>
      </c>
      <c r="H923" t="s">
        <v>423</v>
      </c>
    </row>
    <row r="924" spans="6:8" x14ac:dyDescent="0.3">
      <c r="F924" t="s">
        <v>1330</v>
      </c>
      <c r="G924">
        <v>22.47</v>
      </c>
      <c r="H924" t="s">
        <v>423</v>
      </c>
    </row>
    <row r="925" spans="6:8" x14ac:dyDescent="0.3">
      <c r="F925" t="s">
        <v>1331</v>
      </c>
      <c r="G925">
        <v>48.556800000000003</v>
      </c>
      <c r="H925" t="s">
        <v>423</v>
      </c>
    </row>
    <row r="926" spans="6:8" x14ac:dyDescent="0.3">
      <c r="F926" t="s">
        <v>1332</v>
      </c>
      <c r="G926">
        <v>302.33280000000002</v>
      </c>
      <c r="H926" t="s">
        <v>427</v>
      </c>
    </row>
    <row r="927" spans="6:8" x14ac:dyDescent="0.3">
      <c r="F927" t="s">
        <v>1333</v>
      </c>
      <c r="G927">
        <v>-4.8335999999999997</v>
      </c>
      <c r="H927" t="s">
        <v>423</v>
      </c>
    </row>
    <row r="928" spans="6:8" x14ac:dyDescent="0.3">
      <c r="F928" t="s">
        <v>1334</v>
      </c>
      <c r="G928">
        <v>-39.699000000000012</v>
      </c>
      <c r="H928" t="s">
        <v>423</v>
      </c>
    </row>
    <row r="929" spans="6:8" x14ac:dyDescent="0.3">
      <c r="F929" t="s">
        <v>1335</v>
      </c>
      <c r="G929">
        <v>81.325999999999993</v>
      </c>
      <c r="H929" t="s">
        <v>423</v>
      </c>
    </row>
    <row r="930" spans="6:8" x14ac:dyDescent="0.3">
      <c r="F930" t="s">
        <v>1336</v>
      </c>
      <c r="G930">
        <v>-43.4512</v>
      </c>
      <c r="H930" t="s">
        <v>423</v>
      </c>
    </row>
    <row r="931" spans="6:8" x14ac:dyDescent="0.3">
      <c r="F931" t="s">
        <v>1337</v>
      </c>
      <c r="G931">
        <v>47.88</v>
      </c>
      <c r="H931" t="s">
        <v>423</v>
      </c>
    </row>
    <row r="932" spans="6:8" x14ac:dyDescent="0.3">
      <c r="F932" t="s">
        <v>1338</v>
      </c>
      <c r="G932">
        <v>59.57</v>
      </c>
      <c r="H932" t="s">
        <v>423</v>
      </c>
    </row>
    <row r="933" spans="6:8" x14ac:dyDescent="0.3">
      <c r="F933" t="s">
        <v>1339</v>
      </c>
      <c r="G933">
        <v>14.9975</v>
      </c>
      <c r="H933" t="s">
        <v>423</v>
      </c>
    </row>
    <row r="934" spans="6:8" x14ac:dyDescent="0.3">
      <c r="F934" t="s">
        <v>1340</v>
      </c>
      <c r="G934">
        <v>50.190399999999997</v>
      </c>
      <c r="H934" t="s">
        <v>423</v>
      </c>
    </row>
    <row r="935" spans="6:8" x14ac:dyDescent="0.3">
      <c r="F935" t="s">
        <v>1341</v>
      </c>
      <c r="G935">
        <v>129.52979999999999</v>
      </c>
      <c r="H935" t="s">
        <v>427</v>
      </c>
    </row>
    <row r="936" spans="6:8" x14ac:dyDescent="0.3">
      <c r="F936" t="s">
        <v>1342</v>
      </c>
      <c r="G936">
        <v>654.17039999999997</v>
      </c>
      <c r="H936" t="s">
        <v>433</v>
      </c>
    </row>
    <row r="937" spans="6:8" x14ac:dyDescent="0.3">
      <c r="F937" t="s">
        <v>1343</v>
      </c>
      <c r="G937">
        <v>10.299500000000011</v>
      </c>
      <c r="H937" t="s">
        <v>423</v>
      </c>
    </row>
    <row r="938" spans="6:8" x14ac:dyDescent="0.3">
      <c r="F938" t="s">
        <v>1344</v>
      </c>
      <c r="G938">
        <v>259.17840000000001</v>
      </c>
      <c r="H938" t="s">
        <v>427</v>
      </c>
    </row>
    <row r="939" spans="6:8" x14ac:dyDescent="0.3">
      <c r="F939" t="s">
        <v>1345</v>
      </c>
      <c r="G939">
        <v>192.279</v>
      </c>
      <c r="H939" t="s">
        <v>427</v>
      </c>
    </row>
    <row r="940" spans="6:8" x14ac:dyDescent="0.3">
      <c r="F940" t="s">
        <v>1346</v>
      </c>
      <c r="G940">
        <v>872.10480000000007</v>
      </c>
      <c r="H940" t="s">
        <v>433</v>
      </c>
    </row>
    <row r="941" spans="6:8" x14ac:dyDescent="0.3">
      <c r="F941" t="s">
        <v>1347</v>
      </c>
      <c r="G941">
        <v>-339.71039999999999</v>
      </c>
      <c r="H941" t="s">
        <v>423</v>
      </c>
    </row>
    <row r="942" spans="6:8" x14ac:dyDescent="0.3">
      <c r="F942" t="s">
        <v>1348</v>
      </c>
      <c r="G942">
        <v>88.281599999999997</v>
      </c>
      <c r="H942" t="s">
        <v>423</v>
      </c>
    </row>
    <row r="943" spans="6:8" x14ac:dyDescent="0.3">
      <c r="F943" t="s">
        <v>1349</v>
      </c>
      <c r="G943">
        <v>177.65549999999999</v>
      </c>
      <c r="H943" t="s">
        <v>427</v>
      </c>
    </row>
    <row r="944" spans="6:8" x14ac:dyDescent="0.3">
      <c r="F944" t="s">
        <v>1350</v>
      </c>
      <c r="G944">
        <v>10.805400000000001</v>
      </c>
      <c r="H944" t="s">
        <v>423</v>
      </c>
    </row>
    <row r="945" spans="6:8" x14ac:dyDescent="0.3">
      <c r="F945" t="s">
        <v>1351</v>
      </c>
      <c r="G945">
        <v>-248.48220000000001</v>
      </c>
      <c r="H945" t="s">
        <v>423</v>
      </c>
    </row>
    <row r="946" spans="6:8" x14ac:dyDescent="0.3">
      <c r="F946" t="s">
        <v>1352</v>
      </c>
      <c r="G946">
        <v>-479.21640000000002</v>
      </c>
      <c r="H946" t="s">
        <v>423</v>
      </c>
    </row>
    <row r="947" spans="6:8" x14ac:dyDescent="0.3">
      <c r="F947" t="s">
        <v>1353</v>
      </c>
      <c r="G947">
        <v>36.644399999999997</v>
      </c>
      <c r="H947" t="s">
        <v>423</v>
      </c>
    </row>
    <row r="948" spans="6:8" x14ac:dyDescent="0.3">
      <c r="F948" t="s">
        <v>1354</v>
      </c>
      <c r="G948">
        <v>380.57760000000002</v>
      </c>
      <c r="H948" t="s">
        <v>427</v>
      </c>
    </row>
    <row r="949" spans="6:8" x14ac:dyDescent="0.3">
      <c r="F949" t="s">
        <v>1355</v>
      </c>
      <c r="G949">
        <v>110.592</v>
      </c>
      <c r="H949" t="s">
        <v>427</v>
      </c>
    </row>
    <row r="950" spans="6:8" x14ac:dyDescent="0.3">
      <c r="F950" t="s">
        <v>1356</v>
      </c>
      <c r="G950">
        <v>235.5264</v>
      </c>
      <c r="H950" t="s">
        <v>427</v>
      </c>
    </row>
    <row r="951" spans="6:8" x14ac:dyDescent="0.3">
      <c r="F951" t="s">
        <v>1357</v>
      </c>
      <c r="G951">
        <v>-36.882000000000012</v>
      </c>
      <c r="H951" t="s">
        <v>423</v>
      </c>
    </row>
    <row r="952" spans="6:8" x14ac:dyDescent="0.3">
      <c r="F952" t="s">
        <v>1358</v>
      </c>
      <c r="G952">
        <v>563.81599999999992</v>
      </c>
      <c r="H952" t="s">
        <v>433</v>
      </c>
    </row>
    <row r="953" spans="6:8" x14ac:dyDescent="0.3">
      <c r="F953" t="s">
        <v>1359</v>
      </c>
      <c r="G953">
        <v>229.5942</v>
      </c>
      <c r="H953" t="s">
        <v>427</v>
      </c>
    </row>
    <row r="954" spans="6:8" x14ac:dyDescent="0.3">
      <c r="F954" t="s">
        <v>1360</v>
      </c>
      <c r="G954">
        <v>311.22000000000003</v>
      </c>
      <c r="H954" t="s">
        <v>427</v>
      </c>
    </row>
    <row r="955" spans="6:8" x14ac:dyDescent="0.3">
      <c r="F955" t="s">
        <v>1361</v>
      </c>
      <c r="G955">
        <v>360.96199999999999</v>
      </c>
      <c r="H955" t="s">
        <v>427</v>
      </c>
    </row>
    <row r="956" spans="6:8" x14ac:dyDescent="0.3">
      <c r="F956" t="s">
        <v>1362</v>
      </c>
      <c r="G956">
        <v>106.176</v>
      </c>
      <c r="H956" t="s">
        <v>427</v>
      </c>
    </row>
    <row r="957" spans="6:8" x14ac:dyDescent="0.3">
      <c r="F957" t="s">
        <v>1363</v>
      </c>
      <c r="G957">
        <v>357.54039999999998</v>
      </c>
      <c r="H957" t="s">
        <v>427</v>
      </c>
    </row>
    <row r="958" spans="6:8" x14ac:dyDescent="0.3">
      <c r="F958" t="s">
        <v>1364</v>
      </c>
      <c r="G958">
        <v>120.97580000000001</v>
      </c>
      <c r="H958" t="s">
        <v>427</v>
      </c>
    </row>
    <row r="959" spans="6:8" x14ac:dyDescent="0.3">
      <c r="F959" t="s">
        <v>1365</v>
      </c>
      <c r="G959">
        <v>127.069</v>
      </c>
      <c r="H959" t="s">
        <v>427</v>
      </c>
    </row>
    <row r="960" spans="6:8" x14ac:dyDescent="0.3">
      <c r="F960" t="s">
        <v>1366</v>
      </c>
      <c r="G960">
        <v>58.32</v>
      </c>
      <c r="H960" t="s">
        <v>423</v>
      </c>
    </row>
    <row r="961" spans="6:8" x14ac:dyDescent="0.3">
      <c r="F961" t="s">
        <v>1367</v>
      </c>
      <c r="G961">
        <v>24.672000000000001</v>
      </c>
      <c r="H961" t="s">
        <v>423</v>
      </c>
    </row>
    <row r="962" spans="6:8" x14ac:dyDescent="0.3">
      <c r="F962" t="s">
        <v>1368</v>
      </c>
      <c r="G962">
        <v>1.2016</v>
      </c>
      <c r="H962" t="s">
        <v>423</v>
      </c>
    </row>
    <row r="963" spans="6:8" x14ac:dyDescent="0.3">
      <c r="F963" t="s">
        <v>1369</v>
      </c>
      <c r="G963">
        <v>64.708500000000001</v>
      </c>
      <c r="H963" t="s">
        <v>423</v>
      </c>
    </row>
    <row r="964" spans="6:8" x14ac:dyDescent="0.3">
      <c r="F964" t="s">
        <v>1370</v>
      </c>
      <c r="G964">
        <v>5.4239999999999986</v>
      </c>
      <c r="H964" t="s">
        <v>423</v>
      </c>
    </row>
    <row r="965" spans="6:8" x14ac:dyDescent="0.3">
      <c r="F965" t="s">
        <v>1371</v>
      </c>
      <c r="G965">
        <v>16.214400000000001</v>
      </c>
      <c r="H965" t="s">
        <v>423</v>
      </c>
    </row>
    <row r="966" spans="6:8" x14ac:dyDescent="0.3">
      <c r="F966" t="s">
        <v>1372</v>
      </c>
      <c r="G966">
        <v>-2.0230000000000001</v>
      </c>
      <c r="H966" t="s">
        <v>423</v>
      </c>
    </row>
    <row r="967" spans="6:8" x14ac:dyDescent="0.3">
      <c r="F967" t="s">
        <v>1373</v>
      </c>
      <c r="G967">
        <v>2.2879999999999998</v>
      </c>
      <c r="H967" t="s">
        <v>423</v>
      </c>
    </row>
    <row r="968" spans="6:8" x14ac:dyDescent="0.3">
      <c r="F968" t="s">
        <v>1374</v>
      </c>
      <c r="G968">
        <v>324.69479999999999</v>
      </c>
      <c r="H968" t="s">
        <v>427</v>
      </c>
    </row>
    <row r="969" spans="6:8" x14ac:dyDescent="0.3">
      <c r="F969" t="s">
        <v>1375</v>
      </c>
      <c r="G969">
        <v>118.3704</v>
      </c>
      <c r="H969" t="s">
        <v>427</v>
      </c>
    </row>
    <row r="970" spans="6:8" x14ac:dyDescent="0.3">
      <c r="F970" t="s">
        <v>1376</v>
      </c>
      <c r="G970">
        <v>41.856000000000002</v>
      </c>
      <c r="H970" t="s">
        <v>423</v>
      </c>
    </row>
    <row r="971" spans="6:8" x14ac:dyDescent="0.3">
      <c r="F971" t="s">
        <v>1377</v>
      </c>
      <c r="G971">
        <v>133.30240000000001</v>
      </c>
      <c r="H971" t="s">
        <v>427</v>
      </c>
    </row>
    <row r="972" spans="6:8" x14ac:dyDescent="0.3">
      <c r="F972" t="s">
        <v>1378</v>
      </c>
      <c r="G972">
        <v>-212.1464</v>
      </c>
      <c r="H972" t="s">
        <v>423</v>
      </c>
    </row>
    <row r="973" spans="6:8" x14ac:dyDescent="0.3">
      <c r="F973" t="s">
        <v>1379</v>
      </c>
      <c r="G973">
        <v>-374.99250000000001</v>
      </c>
      <c r="H973" t="s">
        <v>423</v>
      </c>
    </row>
    <row r="974" spans="6:8" x14ac:dyDescent="0.3">
      <c r="F974" t="s">
        <v>1380</v>
      </c>
      <c r="G974">
        <v>411.57900000000001</v>
      </c>
      <c r="H974" t="s">
        <v>427</v>
      </c>
    </row>
    <row r="975" spans="6:8" x14ac:dyDescent="0.3">
      <c r="F975" t="s">
        <v>1381</v>
      </c>
      <c r="G975">
        <v>-206.5342</v>
      </c>
      <c r="H975" t="s">
        <v>423</v>
      </c>
    </row>
    <row r="976" spans="6:8" x14ac:dyDescent="0.3">
      <c r="F976" t="s">
        <v>1382</v>
      </c>
      <c r="G976">
        <v>-19.460999999999999</v>
      </c>
      <c r="H976" t="s">
        <v>423</v>
      </c>
    </row>
    <row r="977" spans="6:8" x14ac:dyDescent="0.3">
      <c r="F977" t="s">
        <v>1383</v>
      </c>
      <c r="G977">
        <v>83.225999999999999</v>
      </c>
      <c r="H977" t="s">
        <v>423</v>
      </c>
    </row>
    <row r="978" spans="6:8" x14ac:dyDescent="0.3">
      <c r="F978" t="s">
        <v>1384</v>
      </c>
      <c r="G978">
        <v>54.588000000000001</v>
      </c>
      <c r="H978" t="s">
        <v>423</v>
      </c>
    </row>
    <row r="979" spans="6:8" x14ac:dyDescent="0.3">
      <c r="F979" t="s">
        <v>1385</v>
      </c>
      <c r="G979">
        <v>22.433399999999999</v>
      </c>
      <c r="H979" t="s">
        <v>423</v>
      </c>
    </row>
    <row r="980" spans="6:8" x14ac:dyDescent="0.3">
      <c r="F980" t="s">
        <v>1386</v>
      </c>
      <c r="G980">
        <v>-328.59</v>
      </c>
      <c r="H980" t="s">
        <v>423</v>
      </c>
    </row>
    <row r="981" spans="6:8" x14ac:dyDescent="0.3">
      <c r="F981" t="s">
        <v>1387</v>
      </c>
      <c r="G981">
        <v>-12.13290000000001</v>
      </c>
      <c r="H981" t="s">
        <v>423</v>
      </c>
    </row>
    <row r="982" spans="6:8" x14ac:dyDescent="0.3">
      <c r="F982" t="s">
        <v>1388</v>
      </c>
      <c r="G982">
        <v>1252.8822</v>
      </c>
      <c r="H982" t="s">
        <v>433</v>
      </c>
    </row>
    <row r="983" spans="6:8" x14ac:dyDescent="0.3">
      <c r="F983" t="s">
        <v>1389</v>
      </c>
      <c r="G983">
        <v>59.55</v>
      </c>
      <c r="H983" t="s">
        <v>423</v>
      </c>
    </row>
    <row r="984" spans="6:8" x14ac:dyDescent="0.3">
      <c r="F984" t="s">
        <v>1390</v>
      </c>
      <c r="G984">
        <v>0.3024</v>
      </c>
      <c r="H984" t="s">
        <v>423</v>
      </c>
    </row>
    <row r="985" spans="6:8" x14ac:dyDescent="0.3">
      <c r="F985" t="s">
        <v>1391</v>
      </c>
      <c r="G985">
        <v>15.0024</v>
      </c>
      <c r="H985" t="s">
        <v>423</v>
      </c>
    </row>
    <row r="986" spans="6:8" x14ac:dyDescent="0.3">
      <c r="F986" t="s">
        <v>1392</v>
      </c>
      <c r="G986">
        <v>52.034400000000012</v>
      </c>
      <c r="H986" t="s">
        <v>423</v>
      </c>
    </row>
    <row r="987" spans="6:8" x14ac:dyDescent="0.3">
      <c r="F987" t="s">
        <v>1393</v>
      </c>
      <c r="G987">
        <v>218.4</v>
      </c>
      <c r="H987" t="s">
        <v>427</v>
      </c>
    </row>
    <row r="988" spans="6:8" x14ac:dyDescent="0.3">
      <c r="F988" t="s">
        <v>41</v>
      </c>
      <c r="G988">
        <v>-4589.973</v>
      </c>
      <c r="H988" t="s">
        <v>423</v>
      </c>
    </row>
    <row r="989" spans="6:8" x14ac:dyDescent="0.3">
      <c r="F989" t="s">
        <v>1394</v>
      </c>
      <c r="G989">
        <v>-506.45699999999999</v>
      </c>
      <c r="H989" t="s">
        <v>423</v>
      </c>
    </row>
    <row r="990" spans="6:8" x14ac:dyDescent="0.3">
      <c r="F990" t="s">
        <v>1395</v>
      </c>
      <c r="G990">
        <v>34.996499999999997</v>
      </c>
      <c r="H990" t="s">
        <v>423</v>
      </c>
    </row>
    <row r="991" spans="6:8" x14ac:dyDescent="0.3">
      <c r="F991" t="s">
        <v>1396</v>
      </c>
      <c r="G991">
        <v>190.08</v>
      </c>
      <c r="H991" t="s">
        <v>427</v>
      </c>
    </row>
    <row r="992" spans="6:8" x14ac:dyDescent="0.3">
      <c r="F992" t="s">
        <v>1397</v>
      </c>
      <c r="G992">
        <v>972.63679999999999</v>
      </c>
      <c r="H992" t="s">
        <v>433</v>
      </c>
    </row>
    <row r="993" spans="6:8" x14ac:dyDescent="0.3">
      <c r="F993" t="s">
        <v>1398</v>
      </c>
      <c r="G993">
        <v>41.867199999999997</v>
      </c>
      <c r="H993" t="s">
        <v>423</v>
      </c>
    </row>
    <row r="994" spans="6:8" x14ac:dyDescent="0.3">
      <c r="F994" t="s">
        <v>1399</v>
      </c>
      <c r="G994">
        <v>30.582000000000001</v>
      </c>
      <c r="H994" t="s">
        <v>423</v>
      </c>
    </row>
    <row r="995" spans="6:8" x14ac:dyDescent="0.3">
      <c r="F995" t="s">
        <v>1400</v>
      </c>
      <c r="G995">
        <v>39.371400000000001</v>
      </c>
      <c r="H995" t="s">
        <v>423</v>
      </c>
    </row>
    <row r="996" spans="6:8" x14ac:dyDescent="0.3">
      <c r="F996" t="s">
        <v>1401</v>
      </c>
      <c r="G996">
        <v>536.22120000000007</v>
      </c>
      <c r="H996" t="s">
        <v>433</v>
      </c>
    </row>
    <row r="997" spans="6:8" x14ac:dyDescent="0.3">
      <c r="F997" t="s">
        <v>1402</v>
      </c>
      <c r="G997">
        <v>64.732499999999987</v>
      </c>
      <c r="H997" t="s">
        <v>423</v>
      </c>
    </row>
    <row r="998" spans="6:8" x14ac:dyDescent="0.3">
      <c r="F998" t="s">
        <v>1403</v>
      </c>
      <c r="G998">
        <v>160.21629999999999</v>
      </c>
      <c r="H998" t="s">
        <v>427</v>
      </c>
    </row>
    <row r="999" spans="6:8" x14ac:dyDescent="0.3">
      <c r="F999" t="s">
        <v>1404</v>
      </c>
      <c r="G999">
        <v>42.536000000000001</v>
      </c>
      <c r="H999" t="s">
        <v>423</v>
      </c>
    </row>
    <row r="1000" spans="6:8" x14ac:dyDescent="0.3">
      <c r="F1000" t="s">
        <v>1405</v>
      </c>
      <c r="G1000">
        <v>78.368400000000008</v>
      </c>
      <c r="H1000" t="s">
        <v>423</v>
      </c>
    </row>
    <row r="1001" spans="6:8" x14ac:dyDescent="0.3">
      <c r="F1001" t="s">
        <v>1406</v>
      </c>
      <c r="G1001">
        <v>43.194600000000001</v>
      </c>
      <c r="H1001" t="s">
        <v>423</v>
      </c>
    </row>
    <row r="1002" spans="6:8" x14ac:dyDescent="0.3">
      <c r="F1002" t="s">
        <v>1407</v>
      </c>
      <c r="G1002">
        <v>729.06119999999999</v>
      </c>
      <c r="H1002" t="s">
        <v>433</v>
      </c>
    </row>
    <row r="1003" spans="6:8" x14ac:dyDescent="0.3">
      <c r="F1003" t="s">
        <v>1408</v>
      </c>
      <c r="G1003">
        <v>699.34619999999995</v>
      </c>
      <c r="H1003" t="s">
        <v>433</v>
      </c>
    </row>
    <row r="1004" spans="6:8" x14ac:dyDescent="0.3">
      <c r="F1004" t="s">
        <v>1409</v>
      </c>
      <c r="G1004">
        <v>377.55279999999999</v>
      </c>
      <c r="H1004" t="s">
        <v>427</v>
      </c>
    </row>
    <row r="1005" spans="6:8" x14ac:dyDescent="0.3">
      <c r="F1005" t="s">
        <v>1410</v>
      </c>
      <c r="G1005">
        <v>429.73860000000002</v>
      </c>
      <c r="H1005" t="s">
        <v>427</v>
      </c>
    </row>
    <row r="1006" spans="6:8" x14ac:dyDescent="0.3">
      <c r="F1006" t="s">
        <v>1411</v>
      </c>
      <c r="G1006">
        <v>540.73239999999998</v>
      </c>
      <c r="H1006" t="s">
        <v>433</v>
      </c>
    </row>
    <row r="1007" spans="6:8" x14ac:dyDescent="0.3">
      <c r="F1007" t="s">
        <v>1412</v>
      </c>
      <c r="G1007">
        <v>515.13560000000007</v>
      </c>
      <c r="H1007" t="s">
        <v>433</v>
      </c>
    </row>
    <row r="1008" spans="6:8" x14ac:dyDescent="0.3">
      <c r="F1008" t="s">
        <v>1413</v>
      </c>
      <c r="G1008">
        <v>889.91100000000006</v>
      </c>
      <c r="H1008" t="s">
        <v>433</v>
      </c>
    </row>
    <row r="1009" spans="6:8" x14ac:dyDescent="0.3">
      <c r="F1009" t="s">
        <v>1414</v>
      </c>
      <c r="G1009">
        <v>70.097700000000003</v>
      </c>
      <c r="H1009" t="s">
        <v>423</v>
      </c>
    </row>
    <row r="1010" spans="6:8" x14ac:dyDescent="0.3">
      <c r="F1010" t="s">
        <v>1415</v>
      </c>
      <c r="G1010">
        <v>47.281499999999987</v>
      </c>
      <c r="H1010" t="s">
        <v>423</v>
      </c>
    </row>
    <row r="1011" spans="6:8" x14ac:dyDescent="0.3">
      <c r="F1011" t="s">
        <v>1416</v>
      </c>
      <c r="G1011">
        <v>-19.602</v>
      </c>
      <c r="H1011" t="s">
        <v>423</v>
      </c>
    </row>
    <row r="1012" spans="6:8" x14ac:dyDescent="0.3">
      <c r="F1012" t="s">
        <v>1417</v>
      </c>
      <c r="G1012">
        <v>52.386899999999997</v>
      </c>
      <c r="H1012" t="s">
        <v>423</v>
      </c>
    </row>
    <row r="1013" spans="6:8" x14ac:dyDescent="0.3">
      <c r="F1013" t="s">
        <v>1418</v>
      </c>
      <c r="G1013">
        <v>50.385599999999997</v>
      </c>
      <c r="H1013" t="s">
        <v>423</v>
      </c>
    </row>
    <row r="1014" spans="6:8" x14ac:dyDescent="0.3">
      <c r="F1014" t="s">
        <v>1419</v>
      </c>
      <c r="G1014">
        <v>241.61420000000001</v>
      </c>
      <c r="H1014" t="s">
        <v>427</v>
      </c>
    </row>
    <row r="1015" spans="6:8" x14ac:dyDescent="0.3">
      <c r="F1015" t="s">
        <v>1420</v>
      </c>
      <c r="G1015">
        <v>286.70440000000002</v>
      </c>
      <c r="H1015" t="s">
        <v>427</v>
      </c>
    </row>
    <row r="1016" spans="6:8" x14ac:dyDescent="0.3">
      <c r="F1016" t="s">
        <v>1421</v>
      </c>
      <c r="G1016">
        <v>89.984999999999999</v>
      </c>
      <c r="H1016" t="s">
        <v>423</v>
      </c>
    </row>
    <row r="1017" spans="6:8" x14ac:dyDescent="0.3">
      <c r="F1017" t="s">
        <v>1422</v>
      </c>
      <c r="G1017">
        <v>763.15229999999997</v>
      </c>
      <c r="H1017" t="s">
        <v>433</v>
      </c>
    </row>
    <row r="1018" spans="6:8" x14ac:dyDescent="0.3">
      <c r="F1018" t="s">
        <v>1423</v>
      </c>
      <c r="G1018">
        <v>133.26900000000001</v>
      </c>
      <c r="H1018" t="s">
        <v>427</v>
      </c>
    </row>
    <row r="1019" spans="6:8" x14ac:dyDescent="0.3">
      <c r="F1019" t="s">
        <v>1424</v>
      </c>
      <c r="G1019">
        <v>719.928</v>
      </c>
      <c r="H1019" t="s">
        <v>433</v>
      </c>
    </row>
    <row r="1020" spans="6:8" x14ac:dyDescent="0.3">
      <c r="F1020" t="s">
        <v>1425</v>
      </c>
      <c r="G1020">
        <v>554.88900000000001</v>
      </c>
      <c r="H1020" t="s">
        <v>433</v>
      </c>
    </row>
    <row r="1021" spans="6:8" x14ac:dyDescent="0.3">
      <c r="F1021" t="s">
        <v>1426</v>
      </c>
      <c r="G1021">
        <v>497.9502</v>
      </c>
      <c r="H1021" t="s">
        <v>427</v>
      </c>
    </row>
    <row r="1022" spans="6:8" x14ac:dyDescent="0.3">
      <c r="F1022" t="s">
        <v>1427</v>
      </c>
      <c r="G1022">
        <v>53.728499999999997</v>
      </c>
      <c r="H1022" t="s">
        <v>423</v>
      </c>
    </row>
    <row r="1023" spans="6:8" x14ac:dyDescent="0.3">
      <c r="F1023" t="s">
        <v>1428</v>
      </c>
      <c r="G1023">
        <v>1432.4427000000001</v>
      </c>
      <c r="H1023" t="s">
        <v>433</v>
      </c>
    </row>
    <row r="1024" spans="6:8" x14ac:dyDescent="0.3">
      <c r="F1024" t="s">
        <v>1429</v>
      </c>
      <c r="G1024">
        <v>676.5204</v>
      </c>
      <c r="H1024" t="s">
        <v>433</v>
      </c>
    </row>
    <row r="1025" spans="6:8" x14ac:dyDescent="0.3">
      <c r="F1025" t="s">
        <v>1430</v>
      </c>
      <c r="G1025">
        <v>515.91399999999999</v>
      </c>
      <c r="H1025" t="s">
        <v>433</v>
      </c>
    </row>
    <row r="1026" spans="6:8" x14ac:dyDescent="0.3">
      <c r="F1026" t="s">
        <v>1431</v>
      </c>
      <c r="G1026">
        <v>62.768599999999999</v>
      </c>
      <c r="H1026" t="s">
        <v>423</v>
      </c>
    </row>
    <row r="1027" spans="6:8" x14ac:dyDescent="0.3">
      <c r="F1027" t="s">
        <v>1432</v>
      </c>
      <c r="G1027">
        <v>211.8159</v>
      </c>
      <c r="H1027" t="s">
        <v>427</v>
      </c>
    </row>
    <row r="1028" spans="6:8" x14ac:dyDescent="0.3">
      <c r="F1028" t="s">
        <v>1433</v>
      </c>
      <c r="G1028">
        <v>1645.3611000000001</v>
      </c>
      <c r="H1028" t="s">
        <v>433</v>
      </c>
    </row>
    <row r="1029" spans="6:8" x14ac:dyDescent="0.3">
      <c r="F1029" t="s">
        <v>1434</v>
      </c>
      <c r="G1029">
        <v>21.598800000000011</v>
      </c>
      <c r="H1029" t="s">
        <v>423</v>
      </c>
    </row>
    <row r="1030" spans="6:8" x14ac:dyDescent="0.3">
      <c r="F1030" t="s">
        <v>1435</v>
      </c>
      <c r="G1030">
        <v>148.96</v>
      </c>
      <c r="H1030" t="s">
        <v>427</v>
      </c>
    </row>
    <row r="1031" spans="6:8" x14ac:dyDescent="0.3">
      <c r="F1031" t="s">
        <v>1436</v>
      </c>
      <c r="G1031">
        <v>2243.9319999999998</v>
      </c>
      <c r="H1031" t="s">
        <v>433</v>
      </c>
    </row>
    <row r="1032" spans="6:8" x14ac:dyDescent="0.3">
      <c r="F1032" t="s">
        <v>1437</v>
      </c>
      <c r="G1032">
        <v>44.721600000000009</v>
      </c>
      <c r="H1032" t="s">
        <v>423</v>
      </c>
    </row>
    <row r="1033" spans="6:8" x14ac:dyDescent="0.3">
      <c r="F1033" t="s">
        <v>1438</v>
      </c>
      <c r="G1033">
        <v>8.5775000000000006</v>
      </c>
      <c r="H1033" t="s">
        <v>423</v>
      </c>
    </row>
    <row r="1034" spans="6:8" x14ac:dyDescent="0.3">
      <c r="F1034" t="s">
        <v>1439</v>
      </c>
      <c r="G1034">
        <v>55.356999999999999</v>
      </c>
      <c r="H1034" t="s">
        <v>423</v>
      </c>
    </row>
    <row r="1035" spans="6:8" x14ac:dyDescent="0.3">
      <c r="F1035" t="s">
        <v>1440</v>
      </c>
      <c r="G1035">
        <v>6.1230000000000002</v>
      </c>
      <c r="H1035" t="s">
        <v>423</v>
      </c>
    </row>
    <row r="1036" spans="6:8" x14ac:dyDescent="0.3">
      <c r="F1036" t="s">
        <v>1441</v>
      </c>
      <c r="G1036">
        <v>362.46719999999999</v>
      </c>
      <c r="H1036" t="s">
        <v>427</v>
      </c>
    </row>
    <row r="1037" spans="6:8" x14ac:dyDescent="0.3">
      <c r="F1037" t="s">
        <v>1442</v>
      </c>
      <c r="G1037">
        <v>94.914399999999986</v>
      </c>
      <c r="H1037" t="s">
        <v>423</v>
      </c>
    </row>
    <row r="1038" spans="6:8" x14ac:dyDescent="0.3">
      <c r="F1038" t="s">
        <v>1443</v>
      </c>
      <c r="G1038">
        <v>345.774</v>
      </c>
      <c r="H1038" t="s">
        <v>427</v>
      </c>
    </row>
    <row r="1039" spans="6:8" x14ac:dyDescent="0.3">
      <c r="F1039" t="s">
        <v>1444</v>
      </c>
      <c r="G1039">
        <v>289.5791999999999</v>
      </c>
      <c r="H1039" t="s">
        <v>427</v>
      </c>
    </row>
    <row r="1040" spans="6:8" x14ac:dyDescent="0.3">
      <c r="F1040" t="s">
        <v>1445</v>
      </c>
      <c r="G1040">
        <v>106.0902</v>
      </c>
      <c r="H1040" t="s">
        <v>427</v>
      </c>
    </row>
    <row r="1041" spans="6:8" x14ac:dyDescent="0.3">
      <c r="F1041" t="s">
        <v>1446</v>
      </c>
      <c r="G1041">
        <v>-31.07</v>
      </c>
      <c r="H1041" t="s">
        <v>423</v>
      </c>
    </row>
    <row r="1042" spans="6:8" x14ac:dyDescent="0.3">
      <c r="F1042" t="s">
        <v>1447</v>
      </c>
      <c r="G1042">
        <v>28.052399999999999</v>
      </c>
      <c r="H1042" t="s">
        <v>423</v>
      </c>
    </row>
    <row r="1043" spans="6:8" x14ac:dyDescent="0.3">
      <c r="F1043" t="s">
        <v>1448</v>
      </c>
      <c r="G1043">
        <v>65.457599999999999</v>
      </c>
      <c r="H1043" t="s">
        <v>423</v>
      </c>
    </row>
    <row r="1044" spans="6:8" x14ac:dyDescent="0.3">
      <c r="F1044" t="s">
        <v>1449</v>
      </c>
      <c r="G1044">
        <v>27.968</v>
      </c>
      <c r="H1044" t="s">
        <v>423</v>
      </c>
    </row>
    <row r="1045" spans="6:8" x14ac:dyDescent="0.3">
      <c r="F1045" t="s">
        <v>1450</v>
      </c>
      <c r="G1045">
        <v>52.374600000000001</v>
      </c>
      <c r="H1045" t="s">
        <v>423</v>
      </c>
    </row>
    <row r="1046" spans="6:8" x14ac:dyDescent="0.3">
      <c r="F1046" t="s">
        <v>45</v>
      </c>
      <c r="G1046">
        <v>-1299.1836000000001</v>
      </c>
      <c r="H1046" t="s">
        <v>423</v>
      </c>
    </row>
    <row r="1047" spans="6:8" x14ac:dyDescent="0.3">
      <c r="F1047" t="s">
        <v>1451</v>
      </c>
      <c r="G1047">
        <v>-12.88</v>
      </c>
      <c r="H1047" t="s">
        <v>423</v>
      </c>
    </row>
    <row r="1048" spans="6:8" x14ac:dyDescent="0.3">
      <c r="F1048" t="s">
        <v>1452</v>
      </c>
      <c r="G1048">
        <v>42.767999999999986</v>
      </c>
      <c r="H1048" t="s">
        <v>423</v>
      </c>
    </row>
    <row r="1049" spans="6:8" x14ac:dyDescent="0.3">
      <c r="F1049" t="s">
        <v>1453</v>
      </c>
      <c r="G1049">
        <v>49.377600000000001</v>
      </c>
      <c r="H1049" t="s">
        <v>423</v>
      </c>
    </row>
    <row r="1050" spans="6:8" x14ac:dyDescent="0.3">
      <c r="F1050" t="s">
        <v>1454</v>
      </c>
      <c r="G1050">
        <v>14.224</v>
      </c>
      <c r="H1050" t="s">
        <v>423</v>
      </c>
    </row>
    <row r="1051" spans="6:8" x14ac:dyDescent="0.3">
      <c r="F1051" t="s">
        <v>1455</v>
      </c>
      <c r="G1051">
        <v>14.56</v>
      </c>
      <c r="H1051" t="s">
        <v>423</v>
      </c>
    </row>
    <row r="1052" spans="6:8" x14ac:dyDescent="0.3">
      <c r="F1052" t="s">
        <v>1456</v>
      </c>
      <c r="G1052">
        <v>42.29679999999999</v>
      </c>
      <c r="H1052" t="s">
        <v>423</v>
      </c>
    </row>
    <row r="1053" spans="6:8" x14ac:dyDescent="0.3">
      <c r="F1053" t="s">
        <v>1457</v>
      </c>
      <c r="G1053">
        <v>31.574400000000001</v>
      </c>
      <c r="H1053" t="s">
        <v>423</v>
      </c>
    </row>
    <row r="1054" spans="6:8" x14ac:dyDescent="0.3">
      <c r="F1054" t="s">
        <v>1458</v>
      </c>
      <c r="G1054">
        <v>4.6035000000000004</v>
      </c>
      <c r="H1054" t="s">
        <v>423</v>
      </c>
    </row>
    <row r="1055" spans="6:8" x14ac:dyDescent="0.3">
      <c r="F1055" t="s">
        <v>1459</v>
      </c>
      <c r="G1055">
        <v>88.411500000000004</v>
      </c>
      <c r="H1055" t="s">
        <v>423</v>
      </c>
    </row>
    <row r="1056" spans="6:8" x14ac:dyDescent="0.3">
      <c r="F1056" t="s">
        <v>1460</v>
      </c>
      <c r="G1056">
        <v>411.22620000000001</v>
      </c>
      <c r="H1056" t="s">
        <v>427</v>
      </c>
    </row>
    <row r="1057" spans="6:8" x14ac:dyDescent="0.3">
      <c r="F1057" t="s">
        <v>1461</v>
      </c>
      <c r="G1057">
        <v>7.3655999999999997</v>
      </c>
      <c r="H1057" t="s">
        <v>423</v>
      </c>
    </row>
    <row r="1058" spans="6:8" x14ac:dyDescent="0.3">
      <c r="F1058" t="s">
        <v>1462</v>
      </c>
      <c r="G1058">
        <v>41.417999999999999</v>
      </c>
      <c r="H1058" t="s">
        <v>423</v>
      </c>
    </row>
    <row r="1059" spans="6:8" x14ac:dyDescent="0.3">
      <c r="F1059" t="s">
        <v>1463</v>
      </c>
      <c r="G1059">
        <v>181.1808</v>
      </c>
      <c r="H1059" t="s">
        <v>427</v>
      </c>
    </row>
    <row r="1060" spans="6:8" x14ac:dyDescent="0.3">
      <c r="F1060" t="s">
        <v>1464</v>
      </c>
      <c r="G1060">
        <v>72.567599999999999</v>
      </c>
      <c r="H1060" t="s">
        <v>423</v>
      </c>
    </row>
    <row r="1061" spans="6:8" x14ac:dyDescent="0.3">
      <c r="F1061" t="s">
        <v>1465</v>
      </c>
      <c r="G1061">
        <v>3.7035999999999998</v>
      </c>
      <c r="H1061" t="s">
        <v>423</v>
      </c>
    </row>
    <row r="1062" spans="6:8" x14ac:dyDescent="0.3">
      <c r="F1062" t="s">
        <v>1466</v>
      </c>
      <c r="G1062">
        <v>127.5552</v>
      </c>
      <c r="H1062" t="s">
        <v>427</v>
      </c>
    </row>
    <row r="1063" spans="6:8" x14ac:dyDescent="0.3">
      <c r="F1063" t="s">
        <v>1467</v>
      </c>
      <c r="G1063">
        <v>122.36</v>
      </c>
      <c r="H1063" t="s">
        <v>427</v>
      </c>
    </row>
    <row r="1064" spans="6:8" x14ac:dyDescent="0.3">
      <c r="F1064" t="s">
        <v>1468</v>
      </c>
      <c r="G1064">
        <v>156.4641</v>
      </c>
      <c r="H1064" t="s">
        <v>427</v>
      </c>
    </row>
    <row r="1065" spans="6:8" x14ac:dyDescent="0.3">
      <c r="F1065" t="s">
        <v>1469</v>
      </c>
      <c r="G1065">
        <v>1184.8219999999999</v>
      </c>
      <c r="H1065" t="s">
        <v>433</v>
      </c>
    </row>
    <row r="1066" spans="6:8" x14ac:dyDescent="0.3">
      <c r="F1066" t="s">
        <v>1470</v>
      </c>
      <c r="G1066">
        <v>-3.891</v>
      </c>
      <c r="H1066" t="s">
        <v>423</v>
      </c>
    </row>
    <row r="1067" spans="6:8" x14ac:dyDescent="0.3">
      <c r="F1067" t="s">
        <v>1471</v>
      </c>
      <c r="G1067">
        <v>-38.960999999999999</v>
      </c>
      <c r="H1067" t="s">
        <v>423</v>
      </c>
    </row>
    <row r="1068" spans="6:8" x14ac:dyDescent="0.3">
      <c r="F1068" t="s">
        <v>1472</v>
      </c>
      <c r="G1068">
        <v>36.396000000000001</v>
      </c>
      <c r="H1068" t="s">
        <v>423</v>
      </c>
    </row>
    <row r="1069" spans="6:8" x14ac:dyDescent="0.3">
      <c r="F1069" t="s">
        <v>1473</v>
      </c>
      <c r="G1069">
        <v>24.805399999999999</v>
      </c>
      <c r="H1069" t="s">
        <v>423</v>
      </c>
    </row>
    <row r="1070" spans="6:8" x14ac:dyDescent="0.3">
      <c r="F1070" t="s">
        <v>1474</v>
      </c>
      <c r="G1070">
        <v>-32.269500000000008</v>
      </c>
      <c r="H1070" t="s">
        <v>423</v>
      </c>
    </row>
    <row r="1071" spans="6:8" x14ac:dyDescent="0.3">
      <c r="F1071" t="s">
        <v>1475</v>
      </c>
      <c r="G1071">
        <v>42.421399999999998</v>
      </c>
      <c r="H1071" t="s">
        <v>423</v>
      </c>
    </row>
    <row r="1072" spans="6:8" x14ac:dyDescent="0.3">
      <c r="F1072" t="s">
        <v>1476</v>
      </c>
      <c r="G1072">
        <v>189.57</v>
      </c>
      <c r="H1072" t="s">
        <v>427</v>
      </c>
    </row>
    <row r="1073" spans="6:8" x14ac:dyDescent="0.3">
      <c r="F1073" t="s">
        <v>1477</v>
      </c>
      <c r="G1073">
        <v>126.1611</v>
      </c>
      <c r="H1073" t="s">
        <v>427</v>
      </c>
    </row>
    <row r="1074" spans="6:8" x14ac:dyDescent="0.3">
      <c r="F1074" t="s">
        <v>1478</v>
      </c>
      <c r="G1074">
        <v>129.97559999999999</v>
      </c>
      <c r="H1074" t="s">
        <v>427</v>
      </c>
    </row>
    <row r="1075" spans="6:8" x14ac:dyDescent="0.3">
      <c r="F1075" t="s">
        <v>1479</v>
      </c>
      <c r="G1075">
        <v>37.417999999999999</v>
      </c>
      <c r="H1075" t="s">
        <v>423</v>
      </c>
    </row>
    <row r="1076" spans="6:8" x14ac:dyDescent="0.3">
      <c r="F1076" t="s">
        <v>1480</v>
      </c>
      <c r="G1076">
        <v>113.1</v>
      </c>
      <c r="H1076" t="s">
        <v>427</v>
      </c>
    </row>
    <row r="1077" spans="6:8" x14ac:dyDescent="0.3">
      <c r="F1077" t="s">
        <v>1481</v>
      </c>
      <c r="G1077">
        <v>280.27350000000001</v>
      </c>
      <c r="H1077" t="s">
        <v>427</v>
      </c>
    </row>
    <row r="1078" spans="6:8" x14ac:dyDescent="0.3">
      <c r="F1078" t="s">
        <v>1482</v>
      </c>
      <c r="G1078">
        <v>109.2</v>
      </c>
      <c r="H1078" t="s">
        <v>427</v>
      </c>
    </row>
    <row r="1079" spans="6:8" x14ac:dyDescent="0.3">
      <c r="F1079" t="s">
        <v>1483</v>
      </c>
      <c r="G1079">
        <v>3.5741999999999998</v>
      </c>
      <c r="H1079" t="s">
        <v>423</v>
      </c>
    </row>
    <row r="1080" spans="6:8" x14ac:dyDescent="0.3">
      <c r="F1080" t="s">
        <v>1484</v>
      </c>
      <c r="G1080">
        <v>228.31200000000001</v>
      </c>
      <c r="H1080" t="s">
        <v>427</v>
      </c>
    </row>
    <row r="1081" spans="6:8" x14ac:dyDescent="0.3">
      <c r="F1081" t="s">
        <v>1485</v>
      </c>
      <c r="G1081">
        <v>53.268000000000001</v>
      </c>
      <c r="H1081" t="s">
        <v>423</v>
      </c>
    </row>
    <row r="1082" spans="6:8" x14ac:dyDescent="0.3">
      <c r="F1082" t="s">
        <v>1486</v>
      </c>
      <c r="G1082">
        <v>52.006999999999998</v>
      </c>
      <c r="H1082" t="s">
        <v>423</v>
      </c>
    </row>
    <row r="1083" spans="6:8" x14ac:dyDescent="0.3">
      <c r="F1083" t="s">
        <v>1487</v>
      </c>
      <c r="G1083">
        <v>24.139199999999999</v>
      </c>
      <c r="H1083" t="s">
        <v>423</v>
      </c>
    </row>
    <row r="1084" spans="6:8" x14ac:dyDescent="0.3">
      <c r="F1084" t="s">
        <v>1488</v>
      </c>
      <c r="G1084">
        <v>54.072800000000001</v>
      </c>
      <c r="H1084" t="s">
        <v>423</v>
      </c>
    </row>
    <row r="1085" spans="6:8" x14ac:dyDescent="0.3">
      <c r="F1085" t="s">
        <v>1489</v>
      </c>
      <c r="G1085">
        <v>115.7354</v>
      </c>
      <c r="H1085" t="s">
        <v>427</v>
      </c>
    </row>
    <row r="1086" spans="6:8" x14ac:dyDescent="0.3">
      <c r="F1086" t="s">
        <v>1490</v>
      </c>
      <c r="G1086">
        <v>84.5</v>
      </c>
      <c r="H1086" t="s">
        <v>423</v>
      </c>
    </row>
    <row r="1087" spans="6:8" x14ac:dyDescent="0.3">
      <c r="F1087" t="s">
        <v>1491</v>
      </c>
      <c r="G1087">
        <v>9.5968</v>
      </c>
      <c r="H1087" t="s">
        <v>423</v>
      </c>
    </row>
    <row r="1088" spans="6:8" x14ac:dyDescent="0.3">
      <c r="F1088" t="s">
        <v>1492</v>
      </c>
      <c r="G1088">
        <v>66.966499999999996</v>
      </c>
      <c r="H1088" t="s">
        <v>423</v>
      </c>
    </row>
    <row r="1089" spans="6:8" x14ac:dyDescent="0.3">
      <c r="F1089" t="s">
        <v>1493</v>
      </c>
      <c r="G1089">
        <v>91.123999999999995</v>
      </c>
      <c r="H1089" t="s">
        <v>423</v>
      </c>
    </row>
    <row r="1090" spans="6:8" x14ac:dyDescent="0.3">
      <c r="F1090" t="s">
        <v>1494</v>
      </c>
      <c r="G1090">
        <v>107.6641</v>
      </c>
      <c r="H1090" t="s">
        <v>427</v>
      </c>
    </row>
    <row r="1091" spans="6:8" x14ac:dyDescent="0.3">
      <c r="F1091" t="s">
        <v>1495</v>
      </c>
      <c r="G1091">
        <v>20.957999999999991</v>
      </c>
      <c r="H1091" t="s">
        <v>423</v>
      </c>
    </row>
    <row r="1092" spans="6:8" x14ac:dyDescent="0.3">
      <c r="F1092" t="s">
        <v>1496</v>
      </c>
      <c r="G1092">
        <v>634.40599999999995</v>
      </c>
      <c r="H1092" t="s">
        <v>433</v>
      </c>
    </row>
    <row r="1093" spans="6:8" x14ac:dyDescent="0.3">
      <c r="F1093" t="s">
        <v>1497</v>
      </c>
      <c r="G1093">
        <v>183.95400000000001</v>
      </c>
      <c r="H1093" t="s">
        <v>427</v>
      </c>
    </row>
    <row r="1094" spans="6:8" x14ac:dyDescent="0.3">
      <c r="F1094" t="s">
        <v>1498</v>
      </c>
      <c r="G1094">
        <v>287.91399999999999</v>
      </c>
      <c r="H1094" t="s">
        <v>427</v>
      </c>
    </row>
    <row r="1095" spans="6:8" x14ac:dyDescent="0.3">
      <c r="F1095" t="s">
        <v>1499</v>
      </c>
      <c r="G1095">
        <v>211.6688</v>
      </c>
      <c r="H1095" t="s">
        <v>427</v>
      </c>
    </row>
    <row r="1096" spans="6:8" x14ac:dyDescent="0.3">
      <c r="F1096" t="s">
        <v>1500</v>
      </c>
      <c r="G1096">
        <v>780.97159999999997</v>
      </c>
      <c r="H1096" t="s">
        <v>433</v>
      </c>
    </row>
    <row r="1097" spans="6:8" x14ac:dyDescent="0.3">
      <c r="F1097" t="s">
        <v>1501</v>
      </c>
      <c r="G1097">
        <v>90.635400000000004</v>
      </c>
      <c r="H1097" t="s">
        <v>423</v>
      </c>
    </row>
    <row r="1098" spans="6:8" x14ac:dyDescent="0.3">
      <c r="F1098" t="s">
        <v>1502</v>
      </c>
      <c r="G1098">
        <v>92.108800000000002</v>
      </c>
      <c r="H1098" t="s">
        <v>423</v>
      </c>
    </row>
    <row r="1099" spans="6:8" x14ac:dyDescent="0.3">
      <c r="F1099" t="s">
        <v>1503</v>
      </c>
      <c r="G1099">
        <v>201.57480000000001</v>
      </c>
      <c r="H1099" t="s">
        <v>427</v>
      </c>
    </row>
    <row r="1100" spans="6:8" x14ac:dyDescent="0.3">
      <c r="F1100" t="s">
        <v>1504</v>
      </c>
      <c r="G1100">
        <v>122.605</v>
      </c>
      <c r="H1100" t="s">
        <v>427</v>
      </c>
    </row>
    <row r="1101" spans="6:8" x14ac:dyDescent="0.3">
      <c r="F1101" t="s">
        <v>1505</v>
      </c>
      <c r="G1101">
        <v>341.97719999999998</v>
      </c>
      <c r="H1101" t="s">
        <v>427</v>
      </c>
    </row>
    <row r="1102" spans="6:8" x14ac:dyDescent="0.3">
      <c r="F1102" t="s">
        <v>1506</v>
      </c>
      <c r="G1102">
        <v>-91.500200000000007</v>
      </c>
      <c r="H1102" t="s">
        <v>423</v>
      </c>
    </row>
    <row r="1103" spans="6:8" x14ac:dyDescent="0.3">
      <c r="F1103" t="s">
        <v>1507</v>
      </c>
      <c r="G1103">
        <v>467.97</v>
      </c>
      <c r="H1103" t="s">
        <v>427</v>
      </c>
    </row>
    <row r="1104" spans="6:8" x14ac:dyDescent="0.3">
      <c r="F1104" t="s">
        <v>1508</v>
      </c>
      <c r="G1104">
        <v>-13.3371</v>
      </c>
      <c r="H1104" t="s">
        <v>423</v>
      </c>
    </row>
    <row r="1105" spans="6:8" x14ac:dyDescent="0.3">
      <c r="F1105" t="s">
        <v>1509</v>
      </c>
      <c r="G1105">
        <v>142.79580000000001</v>
      </c>
      <c r="H1105" t="s">
        <v>427</v>
      </c>
    </row>
    <row r="1106" spans="6:8" x14ac:dyDescent="0.3">
      <c r="F1106" t="s">
        <v>1510</v>
      </c>
      <c r="G1106">
        <v>93.156800000000004</v>
      </c>
      <c r="H1106" t="s">
        <v>423</v>
      </c>
    </row>
    <row r="1107" spans="6:8" x14ac:dyDescent="0.3">
      <c r="F1107" t="s">
        <v>1511</v>
      </c>
      <c r="G1107">
        <v>851.38200000000006</v>
      </c>
      <c r="H1107" t="s">
        <v>433</v>
      </c>
    </row>
    <row r="1108" spans="6:8" x14ac:dyDescent="0.3">
      <c r="F1108" t="s">
        <v>1512</v>
      </c>
      <c r="G1108">
        <v>149.8956</v>
      </c>
      <c r="H1108" t="s">
        <v>427</v>
      </c>
    </row>
    <row r="1109" spans="6:8" x14ac:dyDescent="0.3">
      <c r="F1109" t="s">
        <v>1513</v>
      </c>
      <c r="G1109">
        <v>723.15479999999991</v>
      </c>
      <c r="H1109" t="s">
        <v>433</v>
      </c>
    </row>
    <row r="1110" spans="6:8" x14ac:dyDescent="0.3">
      <c r="F1110" t="s">
        <v>1514</v>
      </c>
      <c r="G1110">
        <v>622.79999999999995</v>
      </c>
      <c r="H1110" t="s">
        <v>433</v>
      </c>
    </row>
    <row r="1111" spans="6:8" x14ac:dyDescent="0.3">
      <c r="F1111" t="s">
        <v>1515</v>
      </c>
      <c r="G1111">
        <v>11.995200000000001</v>
      </c>
      <c r="H1111" t="s">
        <v>423</v>
      </c>
    </row>
    <row r="1112" spans="6:8" x14ac:dyDescent="0.3">
      <c r="F1112" t="s">
        <v>1516</v>
      </c>
      <c r="G1112">
        <v>58.017600000000002</v>
      </c>
      <c r="H1112" t="s">
        <v>423</v>
      </c>
    </row>
    <row r="1113" spans="6:8" x14ac:dyDescent="0.3">
      <c r="F1113" t="s">
        <v>1517</v>
      </c>
      <c r="G1113">
        <v>55.998600000000003</v>
      </c>
      <c r="H1113" t="s">
        <v>423</v>
      </c>
    </row>
    <row r="1114" spans="6:8" x14ac:dyDescent="0.3">
      <c r="F1114" t="s">
        <v>1518</v>
      </c>
      <c r="G1114">
        <v>3.6560000000000001</v>
      </c>
      <c r="H1114" t="s">
        <v>423</v>
      </c>
    </row>
    <row r="1115" spans="6:8" x14ac:dyDescent="0.3">
      <c r="F1115" t="s">
        <v>1519</v>
      </c>
      <c r="G1115">
        <v>3.5672000000000001</v>
      </c>
      <c r="H1115" t="s">
        <v>423</v>
      </c>
    </row>
    <row r="1116" spans="6:8" x14ac:dyDescent="0.3">
      <c r="F1116" t="s">
        <v>1520</v>
      </c>
      <c r="G1116">
        <v>2.1</v>
      </c>
      <c r="H1116" t="s">
        <v>423</v>
      </c>
    </row>
    <row r="1117" spans="6:8" x14ac:dyDescent="0.3">
      <c r="F1117" t="s">
        <v>1521</v>
      </c>
      <c r="G1117">
        <v>34.650000000000013</v>
      </c>
      <c r="H1117" t="s">
        <v>423</v>
      </c>
    </row>
    <row r="1118" spans="6:8" x14ac:dyDescent="0.3">
      <c r="F1118" t="s">
        <v>1522</v>
      </c>
      <c r="G1118">
        <v>23.6236</v>
      </c>
      <c r="H1118" t="s">
        <v>423</v>
      </c>
    </row>
    <row r="1119" spans="6:8" x14ac:dyDescent="0.3">
      <c r="F1119" t="s">
        <v>1523</v>
      </c>
      <c r="G1119">
        <v>7.48</v>
      </c>
      <c r="H1119" t="s">
        <v>423</v>
      </c>
    </row>
    <row r="1120" spans="6:8" x14ac:dyDescent="0.3">
      <c r="F1120" t="s">
        <v>1524</v>
      </c>
      <c r="G1120">
        <v>13.039</v>
      </c>
      <c r="H1120" t="s">
        <v>423</v>
      </c>
    </row>
    <row r="1121" spans="6:8" x14ac:dyDescent="0.3">
      <c r="F1121" t="s">
        <v>1525</v>
      </c>
      <c r="G1121">
        <v>34.456000000000003</v>
      </c>
      <c r="H1121" t="s">
        <v>423</v>
      </c>
    </row>
    <row r="1122" spans="6:8" x14ac:dyDescent="0.3">
      <c r="F1122" t="s">
        <v>1526</v>
      </c>
      <c r="G1122">
        <v>4.2640000000000002</v>
      </c>
      <c r="H1122" t="s">
        <v>423</v>
      </c>
    </row>
    <row r="1123" spans="6:8" x14ac:dyDescent="0.3">
      <c r="F1123" t="s">
        <v>1527</v>
      </c>
      <c r="G1123">
        <v>17.856000000000002</v>
      </c>
      <c r="H1123" t="s">
        <v>423</v>
      </c>
    </row>
    <row r="1124" spans="6:8" x14ac:dyDescent="0.3">
      <c r="F1124" t="s">
        <v>1528</v>
      </c>
      <c r="G1124">
        <v>33.786999999999999</v>
      </c>
      <c r="H1124" t="s">
        <v>423</v>
      </c>
    </row>
    <row r="1125" spans="6:8" x14ac:dyDescent="0.3">
      <c r="F1125" t="s">
        <v>1529</v>
      </c>
      <c r="G1125">
        <v>8.2151999999999994</v>
      </c>
      <c r="H1125" t="s">
        <v>423</v>
      </c>
    </row>
    <row r="1126" spans="6:8" x14ac:dyDescent="0.3">
      <c r="F1126" t="s">
        <v>1530</v>
      </c>
      <c r="G1126">
        <v>13.171200000000001</v>
      </c>
      <c r="H1126" t="s">
        <v>423</v>
      </c>
    </row>
    <row r="1127" spans="6:8" x14ac:dyDescent="0.3">
      <c r="F1127" t="s">
        <v>1531</v>
      </c>
      <c r="G1127">
        <v>14.400399999999999</v>
      </c>
      <c r="H1127" t="s">
        <v>423</v>
      </c>
    </row>
    <row r="1128" spans="6:8" x14ac:dyDescent="0.3">
      <c r="F1128" t="s">
        <v>1532</v>
      </c>
      <c r="G1128">
        <v>123.008</v>
      </c>
      <c r="H1128" t="s">
        <v>427</v>
      </c>
    </row>
    <row r="1129" spans="6:8" x14ac:dyDescent="0.3">
      <c r="F1129" t="s">
        <v>1533</v>
      </c>
      <c r="G1129">
        <v>11.9808</v>
      </c>
      <c r="H1129" t="s">
        <v>423</v>
      </c>
    </row>
    <row r="1130" spans="6:8" x14ac:dyDescent="0.3">
      <c r="F1130" t="s">
        <v>1534</v>
      </c>
      <c r="G1130">
        <v>9.4588000000000001</v>
      </c>
      <c r="H1130" t="s">
        <v>423</v>
      </c>
    </row>
    <row r="1131" spans="6:8" x14ac:dyDescent="0.3">
      <c r="F1131" t="s">
        <v>1535</v>
      </c>
      <c r="G1131">
        <v>14.366400000000001</v>
      </c>
      <c r="H1131" t="s">
        <v>423</v>
      </c>
    </row>
    <row r="1132" spans="6:8" x14ac:dyDescent="0.3">
      <c r="F1132" t="s">
        <v>1536</v>
      </c>
      <c r="G1132">
        <v>6.6612</v>
      </c>
      <c r="H1132" t="s">
        <v>423</v>
      </c>
    </row>
    <row r="1133" spans="6:8" x14ac:dyDescent="0.3">
      <c r="F1133" t="s">
        <v>1537</v>
      </c>
      <c r="G1133">
        <v>3.7631999999999999</v>
      </c>
      <c r="H1133" t="s">
        <v>423</v>
      </c>
    </row>
    <row r="1134" spans="6:8" x14ac:dyDescent="0.3">
      <c r="F1134" t="s">
        <v>1538</v>
      </c>
      <c r="G1134">
        <v>72.072000000000003</v>
      </c>
      <c r="H1134" t="s">
        <v>423</v>
      </c>
    </row>
    <row r="1135" spans="6:8" x14ac:dyDescent="0.3">
      <c r="F1135" t="s">
        <v>1539</v>
      </c>
      <c r="G1135">
        <v>29.736000000000001</v>
      </c>
      <c r="H1135" t="s">
        <v>423</v>
      </c>
    </row>
    <row r="1136" spans="6:8" x14ac:dyDescent="0.3">
      <c r="F1136" t="s">
        <v>1540</v>
      </c>
      <c r="G1136">
        <v>7.8672000000000004</v>
      </c>
      <c r="H1136" t="s">
        <v>423</v>
      </c>
    </row>
    <row r="1137" spans="6:8" x14ac:dyDescent="0.3">
      <c r="F1137" t="s">
        <v>1541</v>
      </c>
      <c r="G1137">
        <v>10.740600000000001</v>
      </c>
      <c r="H1137" t="s">
        <v>423</v>
      </c>
    </row>
    <row r="1138" spans="6:8" x14ac:dyDescent="0.3">
      <c r="F1138" t="s">
        <v>1542</v>
      </c>
      <c r="G1138">
        <v>19.7392</v>
      </c>
      <c r="H1138" t="s">
        <v>423</v>
      </c>
    </row>
    <row r="1139" spans="6:8" x14ac:dyDescent="0.3">
      <c r="F1139" t="s">
        <v>1543</v>
      </c>
      <c r="G1139">
        <v>4.8544</v>
      </c>
      <c r="H1139" t="s">
        <v>423</v>
      </c>
    </row>
    <row r="1140" spans="6:8" x14ac:dyDescent="0.3">
      <c r="F1140" t="s">
        <v>1544</v>
      </c>
      <c r="G1140">
        <v>8.3699999999999992</v>
      </c>
      <c r="H1140" t="s">
        <v>423</v>
      </c>
    </row>
    <row r="1141" spans="6:8" x14ac:dyDescent="0.3">
      <c r="F1141" t="s">
        <v>1545</v>
      </c>
      <c r="G1141">
        <v>11.1228</v>
      </c>
      <c r="H1141" t="s">
        <v>423</v>
      </c>
    </row>
    <row r="1142" spans="6:8" x14ac:dyDescent="0.3">
      <c r="F1142" t="s">
        <v>1546</v>
      </c>
      <c r="G1142">
        <v>14.6211</v>
      </c>
      <c r="H1142" t="s">
        <v>423</v>
      </c>
    </row>
    <row r="1143" spans="6:8" x14ac:dyDescent="0.3">
      <c r="F1143" t="s">
        <v>1547</v>
      </c>
      <c r="G1143">
        <v>15.523199999999999</v>
      </c>
      <c r="H1143" t="s">
        <v>423</v>
      </c>
    </row>
    <row r="1144" spans="6:8" x14ac:dyDescent="0.3">
      <c r="F1144" t="s">
        <v>1548</v>
      </c>
      <c r="G1144">
        <v>18.848400000000002</v>
      </c>
      <c r="H1144" t="s">
        <v>423</v>
      </c>
    </row>
    <row r="1145" spans="6:8" x14ac:dyDescent="0.3">
      <c r="F1145" t="s">
        <v>1549</v>
      </c>
      <c r="G1145">
        <v>135.30879999999999</v>
      </c>
      <c r="H1145" t="s">
        <v>427</v>
      </c>
    </row>
    <row r="1146" spans="6:8" x14ac:dyDescent="0.3">
      <c r="F1146" t="s">
        <v>1550</v>
      </c>
      <c r="G1146">
        <v>10.022399999999999</v>
      </c>
      <c r="H1146" t="s">
        <v>423</v>
      </c>
    </row>
    <row r="1147" spans="6:8" x14ac:dyDescent="0.3">
      <c r="F1147" t="s">
        <v>1551</v>
      </c>
      <c r="G1147">
        <v>13.781599999999999</v>
      </c>
      <c r="H1147" t="s">
        <v>423</v>
      </c>
    </row>
    <row r="1148" spans="6:8" x14ac:dyDescent="0.3">
      <c r="F1148" t="s">
        <v>1552</v>
      </c>
      <c r="G1148">
        <v>1.1808000000000001</v>
      </c>
      <c r="H1148" t="s">
        <v>423</v>
      </c>
    </row>
    <row r="1149" spans="6:8" x14ac:dyDescent="0.3">
      <c r="F1149" t="s">
        <v>1553</v>
      </c>
      <c r="G1149">
        <v>6.3503999999999996</v>
      </c>
      <c r="H1149" t="s">
        <v>423</v>
      </c>
    </row>
    <row r="1150" spans="6:8" x14ac:dyDescent="0.3">
      <c r="F1150" t="s">
        <v>1554</v>
      </c>
      <c r="G1150">
        <v>6.1159999999999997</v>
      </c>
      <c r="H1150" t="s">
        <v>423</v>
      </c>
    </row>
    <row r="1151" spans="6:8" x14ac:dyDescent="0.3">
      <c r="F1151" t="s">
        <v>1555</v>
      </c>
      <c r="G1151">
        <v>93.24799999999999</v>
      </c>
      <c r="H1151" t="s">
        <v>423</v>
      </c>
    </row>
    <row r="1152" spans="6:8" x14ac:dyDescent="0.3">
      <c r="F1152" t="s">
        <v>1556</v>
      </c>
      <c r="G1152">
        <v>7.5167999999999999</v>
      </c>
      <c r="H1152" t="s">
        <v>423</v>
      </c>
    </row>
    <row r="1153" spans="6:8" x14ac:dyDescent="0.3">
      <c r="F1153" t="s">
        <v>1557</v>
      </c>
      <c r="G1153">
        <v>26.835599999999999</v>
      </c>
      <c r="H1153" t="s">
        <v>423</v>
      </c>
    </row>
    <row r="1154" spans="6:8" x14ac:dyDescent="0.3">
      <c r="F1154" t="s">
        <v>1558</v>
      </c>
      <c r="G1154">
        <v>2.8536000000000001</v>
      </c>
      <c r="H1154" t="s">
        <v>423</v>
      </c>
    </row>
    <row r="1155" spans="6:8" x14ac:dyDescent="0.3">
      <c r="F1155" t="s">
        <v>1559</v>
      </c>
      <c r="G1155">
        <v>13.7592</v>
      </c>
      <c r="H1155" t="s">
        <v>423</v>
      </c>
    </row>
    <row r="1156" spans="6:8" x14ac:dyDescent="0.3">
      <c r="F1156" t="s">
        <v>1560</v>
      </c>
      <c r="G1156">
        <v>8.5624000000000002</v>
      </c>
      <c r="H1156" t="s">
        <v>423</v>
      </c>
    </row>
    <row r="1157" spans="6:8" x14ac:dyDescent="0.3">
      <c r="F1157" t="s">
        <v>1561</v>
      </c>
      <c r="G1157">
        <v>94.438400000000001</v>
      </c>
      <c r="H1157" t="s">
        <v>423</v>
      </c>
    </row>
    <row r="1158" spans="6:8" x14ac:dyDescent="0.3">
      <c r="F1158" t="s">
        <v>1562</v>
      </c>
      <c r="G1158">
        <v>8.6112000000000002</v>
      </c>
      <c r="H1158" t="s">
        <v>423</v>
      </c>
    </row>
    <row r="1159" spans="6:8" x14ac:dyDescent="0.3">
      <c r="F1159" t="s">
        <v>1563</v>
      </c>
      <c r="G1159">
        <v>30.302399999999999</v>
      </c>
      <c r="H1159" t="s">
        <v>423</v>
      </c>
    </row>
    <row r="1160" spans="6:8" x14ac:dyDescent="0.3">
      <c r="F1160" t="s">
        <v>1564</v>
      </c>
      <c r="G1160">
        <v>9.7088000000000001</v>
      </c>
      <c r="H1160" t="s">
        <v>423</v>
      </c>
    </row>
    <row r="1161" spans="6:8" x14ac:dyDescent="0.3">
      <c r="F1161" t="s">
        <v>1565</v>
      </c>
      <c r="G1161">
        <v>10.036799999999999</v>
      </c>
      <c r="H1161" t="s">
        <v>423</v>
      </c>
    </row>
    <row r="1162" spans="6:8" x14ac:dyDescent="0.3">
      <c r="F1162" t="s">
        <v>1566</v>
      </c>
      <c r="G1162">
        <v>23.288</v>
      </c>
      <c r="H1162" t="s">
        <v>423</v>
      </c>
    </row>
    <row r="1163" spans="6:8" x14ac:dyDescent="0.3">
      <c r="F1163" t="s">
        <v>1567</v>
      </c>
      <c r="G1163">
        <v>15.744</v>
      </c>
      <c r="H1163" t="s">
        <v>423</v>
      </c>
    </row>
    <row r="1164" spans="6:8" x14ac:dyDescent="0.3">
      <c r="F1164" t="s">
        <v>1568</v>
      </c>
      <c r="G1164">
        <v>22.107199999999999</v>
      </c>
      <c r="H1164" t="s">
        <v>423</v>
      </c>
    </row>
    <row r="1165" spans="6:8" x14ac:dyDescent="0.3">
      <c r="F1165" t="s">
        <v>1569</v>
      </c>
      <c r="G1165">
        <v>36.591799999999999</v>
      </c>
      <c r="H1165" t="s">
        <v>423</v>
      </c>
    </row>
    <row r="1166" spans="6:8" x14ac:dyDescent="0.3">
      <c r="F1166" t="s">
        <v>1570</v>
      </c>
      <c r="G1166">
        <v>143.99680000000001</v>
      </c>
      <c r="H1166" t="s">
        <v>427</v>
      </c>
    </row>
    <row r="1167" spans="6:8" x14ac:dyDescent="0.3">
      <c r="F1167" t="s">
        <v>1571</v>
      </c>
      <c r="G1167">
        <v>83.971999999999994</v>
      </c>
      <c r="H1167" t="s">
        <v>423</v>
      </c>
    </row>
    <row r="1168" spans="6:8" x14ac:dyDescent="0.3">
      <c r="F1168" t="s">
        <v>1572</v>
      </c>
      <c r="G1168">
        <v>284.73739999999998</v>
      </c>
      <c r="H1168" t="s">
        <v>427</v>
      </c>
    </row>
    <row r="1169" spans="6:8" x14ac:dyDescent="0.3">
      <c r="F1169" t="s">
        <v>1573</v>
      </c>
      <c r="G1169">
        <v>18.233599999999999</v>
      </c>
      <c r="H1169" t="s">
        <v>423</v>
      </c>
    </row>
    <row r="1170" spans="6:8" x14ac:dyDescent="0.3">
      <c r="F1170" t="s">
        <v>1574</v>
      </c>
      <c r="G1170">
        <v>100.0728</v>
      </c>
      <c r="H1170" t="s">
        <v>427</v>
      </c>
    </row>
    <row r="1171" spans="6:8" x14ac:dyDescent="0.3">
      <c r="F1171" t="s">
        <v>1575</v>
      </c>
      <c r="G1171">
        <v>936.25920000000008</v>
      </c>
      <c r="H1171" t="s">
        <v>433</v>
      </c>
    </row>
    <row r="1172" spans="6:8" x14ac:dyDescent="0.3">
      <c r="F1172" t="s">
        <v>1576</v>
      </c>
      <c r="G1172">
        <v>253.77099999999999</v>
      </c>
      <c r="H1172" t="s">
        <v>427</v>
      </c>
    </row>
    <row r="1173" spans="6:8" x14ac:dyDescent="0.3">
      <c r="F1173" t="s">
        <v>1577</v>
      </c>
      <c r="G1173">
        <v>397.74149999999997</v>
      </c>
      <c r="H1173" t="s">
        <v>427</v>
      </c>
    </row>
    <row r="1174" spans="6:8" x14ac:dyDescent="0.3">
      <c r="F1174" t="s">
        <v>1578</v>
      </c>
      <c r="G1174">
        <v>-131.107</v>
      </c>
      <c r="H1174" t="s">
        <v>423</v>
      </c>
    </row>
    <row r="1175" spans="6:8" x14ac:dyDescent="0.3">
      <c r="F1175" t="s">
        <v>1579</v>
      </c>
      <c r="G1175">
        <v>-133.44239999999999</v>
      </c>
      <c r="H1175" t="s">
        <v>423</v>
      </c>
    </row>
    <row r="1176" spans="6:8" x14ac:dyDescent="0.3">
      <c r="F1176" t="s">
        <v>1580</v>
      </c>
      <c r="G1176">
        <v>-445.39100000000002</v>
      </c>
      <c r="H1176" t="s">
        <v>423</v>
      </c>
    </row>
    <row r="1177" spans="6:8" x14ac:dyDescent="0.3">
      <c r="F1177" t="s">
        <v>1581</v>
      </c>
      <c r="G1177">
        <v>-32.650799999999997</v>
      </c>
      <c r="H1177" t="s">
        <v>423</v>
      </c>
    </row>
    <row r="1178" spans="6:8" x14ac:dyDescent="0.3">
      <c r="F1178" t="s">
        <v>1582</v>
      </c>
      <c r="G1178">
        <v>0.78799999999999981</v>
      </c>
      <c r="H1178" t="s">
        <v>423</v>
      </c>
    </row>
    <row r="1179" spans="6:8" x14ac:dyDescent="0.3">
      <c r="F1179" t="s">
        <v>1583</v>
      </c>
      <c r="G1179">
        <v>98.971199999999996</v>
      </c>
      <c r="H1179" t="s">
        <v>423</v>
      </c>
    </row>
    <row r="1180" spans="6:8" x14ac:dyDescent="0.3">
      <c r="F1180" t="s">
        <v>1584</v>
      </c>
      <c r="G1180">
        <v>56.035200000000003</v>
      </c>
      <c r="H1180" t="s">
        <v>423</v>
      </c>
    </row>
    <row r="1181" spans="6:8" x14ac:dyDescent="0.3">
      <c r="F1181" t="s">
        <v>1585</v>
      </c>
      <c r="G1181">
        <v>81.4512</v>
      </c>
      <c r="H1181" t="s">
        <v>423</v>
      </c>
    </row>
    <row r="1182" spans="6:8" x14ac:dyDescent="0.3">
      <c r="F1182" t="s">
        <v>1586</v>
      </c>
      <c r="G1182">
        <v>35.457599999999999</v>
      </c>
      <c r="H1182" t="s">
        <v>423</v>
      </c>
    </row>
    <row r="1183" spans="6:8" x14ac:dyDescent="0.3">
      <c r="F1183" t="s">
        <v>1587</v>
      </c>
      <c r="G1183">
        <v>566.4674</v>
      </c>
      <c r="H1183" t="s">
        <v>433</v>
      </c>
    </row>
    <row r="1184" spans="6:8" x14ac:dyDescent="0.3">
      <c r="F1184" t="s">
        <v>1588</v>
      </c>
      <c r="G1184">
        <v>-133.10919999999999</v>
      </c>
      <c r="H1184" t="s">
        <v>423</v>
      </c>
    </row>
    <row r="1185" spans="6:8" x14ac:dyDescent="0.3">
      <c r="F1185" t="s">
        <v>1589</v>
      </c>
      <c r="G1185">
        <v>147.0942</v>
      </c>
      <c r="H1185" t="s">
        <v>427</v>
      </c>
    </row>
    <row r="1186" spans="6:8" x14ac:dyDescent="0.3">
      <c r="F1186" t="s">
        <v>1590</v>
      </c>
      <c r="G1186">
        <v>-975.09879999999998</v>
      </c>
      <c r="H1186" t="s">
        <v>423</v>
      </c>
    </row>
    <row r="1187" spans="6:8" x14ac:dyDescent="0.3">
      <c r="F1187" t="s">
        <v>1591</v>
      </c>
      <c r="G1187">
        <v>-12.291</v>
      </c>
      <c r="H1187" t="s">
        <v>423</v>
      </c>
    </row>
    <row r="1188" spans="6:8" x14ac:dyDescent="0.3">
      <c r="F1188" t="s">
        <v>1592</v>
      </c>
      <c r="G1188">
        <v>-78.363599999999991</v>
      </c>
      <c r="H1188" t="s">
        <v>423</v>
      </c>
    </row>
    <row r="1189" spans="6:8" x14ac:dyDescent="0.3">
      <c r="F1189" t="s">
        <v>1593</v>
      </c>
      <c r="G1189">
        <v>27.1936</v>
      </c>
      <c r="H1189" t="s">
        <v>423</v>
      </c>
    </row>
    <row r="1190" spans="6:8" x14ac:dyDescent="0.3">
      <c r="F1190" t="s">
        <v>1594</v>
      </c>
      <c r="G1190">
        <v>-68.1096</v>
      </c>
      <c r="H1190" t="s">
        <v>423</v>
      </c>
    </row>
    <row r="1191" spans="6:8" x14ac:dyDescent="0.3">
      <c r="F1191" t="s">
        <v>1595</v>
      </c>
      <c r="G1191">
        <v>-78.637</v>
      </c>
      <c r="H1191" t="s">
        <v>423</v>
      </c>
    </row>
    <row r="1192" spans="6:8" x14ac:dyDescent="0.3">
      <c r="F1192" t="s">
        <v>1596</v>
      </c>
      <c r="G1192">
        <v>-170.833</v>
      </c>
      <c r="H1192" t="s">
        <v>423</v>
      </c>
    </row>
    <row r="1193" spans="6:8" x14ac:dyDescent="0.3">
      <c r="F1193" t="s">
        <v>1597</v>
      </c>
      <c r="G1193">
        <v>-755.75160000000005</v>
      </c>
      <c r="H1193" t="s">
        <v>423</v>
      </c>
    </row>
    <row r="1194" spans="6:8" x14ac:dyDescent="0.3">
      <c r="F1194" t="s">
        <v>1598</v>
      </c>
      <c r="G1194">
        <v>-285.94839999999999</v>
      </c>
      <c r="H1194" t="s">
        <v>423</v>
      </c>
    </row>
    <row r="1195" spans="6:8" x14ac:dyDescent="0.3">
      <c r="F1195" t="s">
        <v>1599</v>
      </c>
      <c r="G1195">
        <v>-767.74360000000001</v>
      </c>
      <c r="H1195" t="s">
        <v>423</v>
      </c>
    </row>
    <row r="1196" spans="6:8" x14ac:dyDescent="0.3">
      <c r="F1196" t="s">
        <v>1600</v>
      </c>
      <c r="G1196">
        <v>8.1403999999999996</v>
      </c>
      <c r="H1196" t="s">
        <v>423</v>
      </c>
    </row>
    <row r="1197" spans="6:8" x14ac:dyDescent="0.3">
      <c r="F1197" t="s">
        <v>1601</v>
      </c>
      <c r="G1197">
        <v>60.143999999999991</v>
      </c>
      <c r="H1197" t="s">
        <v>423</v>
      </c>
    </row>
    <row r="1198" spans="6:8" x14ac:dyDescent="0.3">
      <c r="F1198" t="s">
        <v>1602</v>
      </c>
      <c r="G1198">
        <v>7.0804</v>
      </c>
      <c r="H1198" t="s">
        <v>423</v>
      </c>
    </row>
    <row r="1199" spans="6:8" x14ac:dyDescent="0.3">
      <c r="F1199" t="s">
        <v>1603</v>
      </c>
      <c r="G1199">
        <v>35.598000000000013</v>
      </c>
      <c r="H1199" t="s">
        <v>423</v>
      </c>
    </row>
    <row r="1200" spans="6:8" x14ac:dyDescent="0.3">
      <c r="F1200" t="s">
        <v>1604</v>
      </c>
      <c r="G1200">
        <v>59.284799999999997</v>
      </c>
      <c r="H1200" t="s">
        <v>423</v>
      </c>
    </row>
    <row r="1201" spans="6:8" x14ac:dyDescent="0.3">
      <c r="F1201" t="s">
        <v>1605</v>
      </c>
      <c r="G1201">
        <v>26.72</v>
      </c>
      <c r="H1201" t="s">
        <v>423</v>
      </c>
    </row>
    <row r="1202" spans="6:8" x14ac:dyDescent="0.3">
      <c r="F1202" t="s">
        <v>1606</v>
      </c>
      <c r="G1202">
        <v>5.1414</v>
      </c>
      <c r="H1202" t="s">
        <v>423</v>
      </c>
    </row>
    <row r="1203" spans="6:8" x14ac:dyDescent="0.3">
      <c r="F1203" t="s">
        <v>1607</v>
      </c>
      <c r="G1203">
        <v>-66.827200000000019</v>
      </c>
      <c r="H1203" t="s">
        <v>423</v>
      </c>
    </row>
    <row r="1204" spans="6:8" x14ac:dyDescent="0.3">
      <c r="F1204" t="s">
        <v>1608</v>
      </c>
      <c r="G1204">
        <v>-167.27</v>
      </c>
      <c r="H1204" t="s">
        <v>423</v>
      </c>
    </row>
    <row r="1205" spans="6:8" x14ac:dyDescent="0.3">
      <c r="F1205" t="s">
        <v>1609</v>
      </c>
      <c r="G1205">
        <v>425.75959999999998</v>
      </c>
      <c r="H1205" t="s">
        <v>427</v>
      </c>
    </row>
    <row r="1206" spans="6:8" x14ac:dyDescent="0.3">
      <c r="F1206" t="s">
        <v>1610</v>
      </c>
      <c r="G1206">
        <v>155.37200000000001</v>
      </c>
      <c r="H1206" t="s">
        <v>427</v>
      </c>
    </row>
    <row r="1207" spans="6:8" x14ac:dyDescent="0.3">
      <c r="F1207" t="s">
        <v>1611</v>
      </c>
      <c r="G1207">
        <v>-158.48580000000001</v>
      </c>
      <c r="H1207" t="s">
        <v>423</v>
      </c>
    </row>
    <row r="1208" spans="6:8" x14ac:dyDescent="0.3">
      <c r="F1208" t="s">
        <v>1612</v>
      </c>
      <c r="G1208">
        <v>-491.17500000000001</v>
      </c>
      <c r="H1208" t="s">
        <v>423</v>
      </c>
    </row>
    <row r="1209" spans="6:8" x14ac:dyDescent="0.3">
      <c r="F1209" t="s">
        <v>1613</v>
      </c>
      <c r="G1209">
        <v>231.65440000000001</v>
      </c>
      <c r="H1209" t="s">
        <v>427</v>
      </c>
    </row>
    <row r="1210" spans="6:8" x14ac:dyDescent="0.3">
      <c r="F1210" t="s">
        <v>1614</v>
      </c>
      <c r="G1210">
        <v>-42.1096</v>
      </c>
      <c r="H1210" t="s">
        <v>423</v>
      </c>
    </row>
    <row r="1211" spans="6:8" x14ac:dyDescent="0.3">
      <c r="F1211" t="s">
        <v>1615</v>
      </c>
      <c r="G1211">
        <v>-130.97999999999999</v>
      </c>
      <c r="H1211" t="s">
        <v>423</v>
      </c>
    </row>
    <row r="1212" spans="6:8" x14ac:dyDescent="0.3">
      <c r="F1212" t="s">
        <v>1616</v>
      </c>
      <c r="G1212">
        <v>342.88740000000001</v>
      </c>
      <c r="H1212" t="s">
        <v>427</v>
      </c>
    </row>
    <row r="1213" spans="6:8" x14ac:dyDescent="0.3">
      <c r="F1213" t="s">
        <v>1617</v>
      </c>
      <c r="G1213">
        <v>1305.6456000000001</v>
      </c>
      <c r="H1213" t="s">
        <v>433</v>
      </c>
    </row>
    <row r="1214" spans="6:8" x14ac:dyDescent="0.3">
      <c r="F1214" t="s">
        <v>1618</v>
      </c>
      <c r="G1214">
        <v>47.309600000000003</v>
      </c>
      <c r="H1214" t="s">
        <v>423</v>
      </c>
    </row>
    <row r="1215" spans="6:8" x14ac:dyDescent="0.3">
      <c r="F1215" t="s">
        <v>1619</v>
      </c>
      <c r="G1215">
        <v>413.649</v>
      </c>
      <c r="H1215" t="s">
        <v>427</v>
      </c>
    </row>
    <row r="1216" spans="6:8" x14ac:dyDescent="0.3">
      <c r="F1216" t="s">
        <v>1620</v>
      </c>
      <c r="G1216">
        <v>-228.61879999999999</v>
      </c>
      <c r="H1216" t="s">
        <v>423</v>
      </c>
    </row>
    <row r="1217" spans="6:8" x14ac:dyDescent="0.3">
      <c r="F1217" t="s">
        <v>1621</v>
      </c>
      <c r="G1217">
        <v>115.83</v>
      </c>
      <c r="H1217" t="s">
        <v>427</v>
      </c>
    </row>
    <row r="1218" spans="6:8" x14ac:dyDescent="0.3">
      <c r="F1218" t="s">
        <v>1622</v>
      </c>
      <c r="G1218">
        <v>-251.98740000000001</v>
      </c>
      <c r="H1218" t="s">
        <v>423</v>
      </c>
    </row>
    <row r="1219" spans="6:8" x14ac:dyDescent="0.3">
      <c r="F1219" t="s">
        <v>1623</v>
      </c>
      <c r="G1219">
        <v>111.68</v>
      </c>
      <c r="H1219" t="s">
        <v>427</v>
      </c>
    </row>
    <row r="1220" spans="6:8" x14ac:dyDescent="0.3">
      <c r="F1220" t="s">
        <v>1624</v>
      </c>
      <c r="G1220">
        <v>-292.05</v>
      </c>
      <c r="H1220" t="s">
        <v>423</v>
      </c>
    </row>
    <row r="1221" spans="6:8" x14ac:dyDescent="0.3">
      <c r="F1221" t="s">
        <v>1625</v>
      </c>
      <c r="G1221">
        <v>-434.13</v>
      </c>
      <c r="H1221" t="s">
        <v>423</v>
      </c>
    </row>
    <row r="1222" spans="6:8" x14ac:dyDescent="0.3">
      <c r="F1222" t="s">
        <v>1626</v>
      </c>
      <c r="G1222">
        <v>881.37</v>
      </c>
      <c r="H1222" t="s">
        <v>433</v>
      </c>
    </row>
    <row r="1223" spans="6:8" x14ac:dyDescent="0.3">
      <c r="F1223" t="s">
        <v>1627</v>
      </c>
      <c r="G1223">
        <v>314.97500000000002</v>
      </c>
      <c r="H1223" t="s">
        <v>427</v>
      </c>
    </row>
    <row r="1224" spans="6:8" x14ac:dyDescent="0.3">
      <c r="F1224" t="s">
        <v>1628</v>
      </c>
      <c r="G1224">
        <v>-55.977600000000002</v>
      </c>
      <c r="H1224" t="s">
        <v>423</v>
      </c>
    </row>
    <row r="1225" spans="6:8" x14ac:dyDescent="0.3">
      <c r="F1225" t="s">
        <v>1629</v>
      </c>
      <c r="G1225">
        <v>102.9132</v>
      </c>
      <c r="H1225" t="s">
        <v>427</v>
      </c>
    </row>
    <row r="1226" spans="6:8" x14ac:dyDescent="0.3">
      <c r="F1226" t="s">
        <v>1630</v>
      </c>
      <c r="G1226">
        <v>122.959</v>
      </c>
      <c r="H1226" t="s">
        <v>427</v>
      </c>
    </row>
    <row r="1227" spans="6:8" x14ac:dyDescent="0.3">
      <c r="F1227" t="s">
        <v>1631</v>
      </c>
      <c r="G1227">
        <v>3.698</v>
      </c>
      <c r="H1227" t="s">
        <v>423</v>
      </c>
    </row>
    <row r="1228" spans="6:8" x14ac:dyDescent="0.3">
      <c r="F1228" t="s">
        <v>1632</v>
      </c>
      <c r="G1228">
        <v>-2.0773999999999999</v>
      </c>
      <c r="H1228" t="s">
        <v>423</v>
      </c>
    </row>
    <row r="1229" spans="6:8" x14ac:dyDescent="0.3">
      <c r="F1229" t="s">
        <v>1633</v>
      </c>
      <c r="G1229">
        <v>80.97999999999999</v>
      </c>
      <c r="H1229" t="s">
        <v>423</v>
      </c>
    </row>
    <row r="1230" spans="6:8" x14ac:dyDescent="0.3">
      <c r="F1230" t="s">
        <v>1634</v>
      </c>
      <c r="G1230">
        <v>163.81800000000001</v>
      </c>
      <c r="H1230" t="s">
        <v>427</v>
      </c>
    </row>
    <row r="1231" spans="6:8" x14ac:dyDescent="0.3">
      <c r="F1231" t="s">
        <v>1635</v>
      </c>
      <c r="G1231">
        <v>126.8064</v>
      </c>
      <c r="H1231" t="s">
        <v>427</v>
      </c>
    </row>
    <row r="1232" spans="6:8" x14ac:dyDescent="0.3">
      <c r="F1232" t="s">
        <v>1636</v>
      </c>
      <c r="G1232">
        <v>59.345999999999997</v>
      </c>
      <c r="H1232" t="s">
        <v>423</v>
      </c>
    </row>
    <row r="1233" spans="6:8" x14ac:dyDescent="0.3">
      <c r="F1233" t="s">
        <v>1637</v>
      </c>
      <c r="G1233">
        <v>26.280799999999999</v>
      </c>
      <c r="H1233" t="s">
        <v>423</v>
      </c>
    </row>
    <row r="1234" spans="6:8" x14ac:dyDescent="0.3">
      <c r="F1234" t="s">
        <v>1638</v>
      </c>
      <c r="G1234">
        <v>111.538</v>
      </c>
      <c r="H1234" t="s">
        <v>427</v>
      </c>
    </row>
    <row r="1235" spans="6:8" x14ac:dyDescent="0.3">
      <c r="F1235" t="s">
        <v>1639</v>
      </c>
      <c r="G1235">
        <v>67.929600000000008</v>
      </c>
      <c r="H1235" t="s">
        <v>423</v>
      </c>
    </row>
    <row r="1236" spans="6:8" x14ac:dyDescent="0.3">
      <c r="F1236" t="s">
        <v>1640</v>
      </c>
      <c r="G1236">
        <v>122.4234</v>
      </c>
      <c r="H1236" t="s">
        <v>427</v>
      </c>
    </row>
    <row r="1237" spans="6:8" x14ac:dyDescent="0.3">
      <c r="F1237" t="s">
        <v>1641</v>
      </c>
      <c r="G1237">
        <v>179.73</v>
      </c>
      <c r="H1237" t="s">
        <v>427</v>
      </c>
    </row>
    <row r="1238" spans="6:8" x14ac:dyDescent="0.3">
      <c r="F1238" t="s">
        <v>1642</v>
      </c>
      <c r="G1238">
        <v>-22.497499999999999</v>
      </c>
      <c r="H1238" t="s">
        <v>423</v>
      </c>
    </row>
    <row r="1239" spans="6:8" x14ac:dyDescent="0.3">
      <c r="F1239" t="s">
        <v>1643</v>
      </c>
      <c r="G1239">
        <v>75.992400000000004</v>
      </c>
      <c r="H1239" t="s">
        <v>423</v>
      </c>
    </row>
    <row r="1240" spans="6:8" x14ac:dyDescent="0.3">
      <c r="F1240" t="s">
        <v>1644</v>
      </c>
      <c r="G1240">
        <v>134.95500000000001</v>
      </c>
      <c r="H1240" t="s">
        <v>427</v>
      </c>
    </row>
    <row r="1241" spans="6:8" x14ac:dyDescent="0.3">
      <c r="F1241" t="s">
        <v>1645</v>
      </c>
      <c r="G1241">
        <v>154.80840000000001</v>
      </c>
      <c r="H1241" t="s">
        <v>427</v>
      </c>
    </row>
    <row r="1242" spans="6:8" x14ac:dyDescent="0.3">
      <c r="F1242" t="s">
        <v>1646</v>
      </c>
      <c r="G1242">
        <v>44.2746</v>
      </c>
      <c r="H1242" t="s">
        <v>423</v>
      </c>
    </row>
    <row r="1243" spans="6:8" x14ac:dyDescent="0.3">
      <c r="F1243" t="s">
        <v>1647</v>
      </c>
      <c r="G1243">
        <v>178.47900000000001</v>
      </c>
      <c r="H1243" t="s">
        <v>427</v>
      </c>
    </row>
    <row r="1244" spans="6:8" x14ac:dyDescent="0.3">
      <c r="F1244" t="s">
        <v>1648</v>
      </c>
      <c r="G1244">
        <v>75.2286</v>
      </c>
      <c r="H1244" t="s">
        <v>423</v>
      </c>
    </row>
    <row r="1245" spans="6:8" x14ac:dyDescent="0.3">
      <c r="F1245" t="s">
        <v>1649</v>
      </c>
      <c r="G1245">
        <v>1168.1004</v>
      </c>
      <c r="H1245" t="s">
        <v>433</v>
      </c>
    </row>
    <row r="1246" spans="6:8" x14ac:dyDescent="0.3">
      <c r="F1246" t="s">
        <v>1650</v>
      </c>
      <c r="G1246">
        <v>1147.4235000000001</v>
      </c>
      <c r="H1246" t="s">
        <v>433</v>
      </c>
    </row>
    <row r="1247" spans="6:8" x14ac:dyDescent="0.3">
      <c r="F1247" t="s">
        <v>1651</v>
      </c>
      <c r="G1247">
        <v>95.199300000000008</v>
      </c>
      <c r="H1247" t="s">
        <v>423</v>
      </c>
    </row>
    <row r="1248" spans="6:8" x14ac:dyDescent="0.3">
      <c r="F1248" t="s">
        <v>1652</v>
      </c>
      <c r="G1248">
        <v>29.271599999999999</v>
      </c>
      <c r="H1248" t="s">
        <v>423</v>
      </c>
    </row>
    <row r="1249" spans="6:8" x14ac:dyDescent="0.3">
      <c r="F1249" t="s">
        <v>1653</v>
      </c>
      <c r="G1249">
        <v>31.4496</v>
      </c>
      <c r="H1249" t="s">
        <v>423</v>
      </c>
    </row>
    <row r="1250" spans="6:8" x14ac:dyDescent="0.3">
      <c r="F1250" t="s">
        <v>1654</v>
      </c>
      <c r="G1250">
        <v>17.482500000000002</v>
      </c>
      <c r="H1250" t="s">
        <v>423</v>
      </c>
    </row>
    <row r="1251" spans="6:8" x14ac:dyDescent="0.3">
      <c r="F1251" t="s">
        <v>1655</v>
      </c>
      <c r="G1251">
        <v>26.539200000000001</v>
      </c>
      <c r="H1251" t="s">
        <v>423</v>
      </c>
    </row>
    <row r="1252" spans="6:8" x14ac:dyDescent="0.3">
      <c r="F1252" t="s">
        <v>1656</v>
      </c>
      <c r="G1252">
        <v>113.48399999999999</v>
      </c>
      <c r="H1252" t="s">
        <v>427</v>
      </c>
    </row>
    <row r="1253" spans="6:8" x14ac:dyDescent="0.3">
      <c r="F1253" t="s">
        <v>1657</v>
      </c>
      <c r="G1253">
        <v>4.3199999999999994</v>
      </c>
      <c r="H1253" t="s">
        <v>423</v>
      </c>
    </row>
    <row r="1254" spans="6:8" x14ac:dyDescent="0.3">
      <c r="F1254" t="s">
        <v>1658</v>
      </c>
      <c r="G1254">
        <v>109.4286</v>
      </c>
      <c r="H1254" t="s">
        <v>427</v>
      </c>
    </row>
    <row r="1255" spans="6:8" x14ac:dyDescent="0.3">
      <c r="F1255" t="s">
        <v>1659</v>
      </c>
      <c r="G1255">
        <v>3.7667999999999999</v>
      </c>
      <c r="H1255" t="s">
        <v>423</v>
      </c>
    </row>
    <row r="1256" spans="6:8" x14ac:dyDescent="0.3">
      <c r="F1256" t="s">
        <v>1660</v>
      </c>
      <c r="G1256">
        <v>-1.8294999999999999</v>
      </c>
      <c r="H1256" t="s">
        <v>423</v>
      </c>
    </row>
    <row r="1257" spans="6:8" x14ac:dyDescent="0.3">
      <c r="F1257" t="s">
        <v>1661</v>
      </c>
      <c r="G1257">
        <v>106.514</v>
      </c>
      <c r="H1257" t="s">
        <v>427</v>
      </c>
    </row>
    <row r="1258" spans="6:8" x14ac:dyDescent="0.3">
      <c r="F1258" t="s">
        <v>1662</v>
      </c>
      <c r="G1258">
        <v>29.3916</v>
      </c>
      <c r="H1258" t="s">
        <v>423</v>
      </c>
    </row>
    <row r="1259" spans="6:8" x14ac:dyDescent="0.3">
      <c r="F1259" t="s">
        <v>1663</v>
      </c>
      <c r="G1259">
        <v>16.803799999999999</v>
      </c>
      <c r="H1259" t="s">
        <v>423</v>
      </c>
    </row>
    <row r="1260" spans="6:8" x14ac:dyDescent="0.3">
      <c r="F1260" t="s">
        <v>1664</v>
      </c>
      <c r="G1260">
        <v>19.000800000000002</v>
      </c>
      <c r="H1260" t="s">
        <v>423</v>
      </c>
    </row>
    <row r="1261" spans="6:8" x14ac:dyDescent="0.3">
      <c r="F1261" t="s">
        <v>1665</v>
      </c>
      <c r="G1261">
        <v>55.061999999999998</v>
      </c>
      <c r="H1261" t="s">
        <v>423</v>
      </c>
    </row>
    <row r="1262" spans="6:8" x14ac:dyDescent="0.3">
      <c r="F1262" t="s">
        <v>1666</v>
      </c>
      <c r="G1262">
        <v>157.50559999999999</v>
      </c>
      <c r="H1262" t="s">
        <v>427</v>
      </c>
    </row>
    <row r="1263" spans="6:8" x14ac:dyDescent="0.3">
      <c r="F1263" t="s">
        <v>1667</v>
      </c>
      <c r="G1263">
        <v>37.392000000000003</v>
      </c>
      <c r="H1263" t="s">
        <v>423</v>
      </c>
    </row>
    <row r="1264" spans="6:8" x14ac:dyDescent="0.3">
      <c r="F1264" t="s">
        <v>1668</v>
      </c>
      <c r="G1264">
        <v>112.9128</v>
      </c>
      <c r="H1264" t="s">
        <v>427</v>
      </c>
    </row>
    <row r="1265" spans="6:8" x14ac:dyDescent="0.3">
      <c r="F1265" t="s">
        <v>1669</v>
      </c>
      <c r="G1265">
        <v>35.872</v>
      </c>
      <c r="H1265" t="s">
        <v>423</v>
      </c>
    </row>
    <row r="1266" spans="6:8" x14ac:dyDescent="0.3">
      <c r="F1266" t="s">
        <v>1670</v>
      </c>
      <c r="G1266">
        <v>94.36</v>
      </c>
      <c r="H1266" t="s">
        <v>423</v>
      </c>
    </row>
    <row r="1267" spans="6:8" x14ac:dyDescent="0.3">
      <c r="F1267" t="s">
        <v>1671</v>
      </c>
      <c r="G1267">
        <v>94.610399999999998</v>
      </c>
      <c r="H1267" t="s">
        <v>423</v>
      </c>
    </row>
    <row r="1268" spans="6:8" x14ac:dyDescent="0.3">
      <c r="F1268" t="s">
        <v>1672</v>
      </c>
      <c r="G1268">
        <v>112.18300000000001</v>
      </c>
      <c r="H1268" t="s">
        <v>427</v>
      </c>
    </row>
    <row r="1269" spans="6:8" x14ac:dyDescent="0.3">
      <c r="F1269" t="s">
        <v>1673</v>
      </c>
      <c r="G1269">
        <v>514.89700000000005</v>
      </c>
      <c r="H1269" t="s">
        <v>433</v>
      </c>
    </row>
    <row r="1270" spans="6:8" x14ac:dyDescent="0.3">
      <c r="F1270" t="s">
        <v>1674</v>
      </c>
      <c r="G1270">
        <v>587.13300000000004</v>
      </c>
      <c r="H1270" t="s">
        <v>433</v>
      </c>
    </row>
    <row r="1271" spans="6:8" x14ac:dyDescent="0.3">
      <c r="F1271" t="s">
        <v>1675</v>
      </c>
      <c r="G1271">
        <v>178.14689999999999</v>
      </c>
      <c r="H1271" t="s">
        <v>427</v>
      </c>
    </row>
    <row r="1272" spans="6:8" x14ac:dyDescent="0.3">
      <c r="F1272" t="s">
        <v>1676</v>
      </c>
      <c r="G1272">
        <v>3085.0324999999998</v>
      </c>
      <c r="H1272" t="s">
        <v>433</v>
      </c>
    </row>
    <row r="1273" spans="6:8" x14ac:dyDescent="0.3">
      <c r="F1273" t="s">
        <v>1677</v>
      </c>
      <c r="G1273">
        <v>505.65420000000012</v>
      </c>
      <c r="H1273" t="s">
        <v>433</v>
      </c>
    </row>
    <row r="1274" spans="6:8" x14ac:dyDescent="0.3">
      <c r="F1274" t="s">
        <v>1678</v>
      </c>
      <c r="G1274">
        <v>219.8355</v>
      </c>
      <c r="H1274" t="s">
        <v>427</v>
      </c>
    </row>
    <row r="1275" spans="6:8" x14ac:dyDescent="0.3">
      <c r="F1275" t="s">
        <v>1679</v>
      </c>
      <c r="G1275">
        <v>163.61799999999999</v>
      </c>
      <c r="H1275" t="s">
        <v>427</v>
      </c>
    </row>
    <row r="1276" spans="6:8" x14ac:dyDescent="0.3">
      <c r="F1276" t="s">
        <v>1680</v>
      </c>
      <c r="G1276">
        <v>250.5384</v>
      </c>
      <c r="H1276" t="s">
        <v>427</v>
      </c>
    </row>
    <row r="1277" spans="6:8" x14ac:dyDescent="0.3">
      <c r="F1277" t="s">
        <v>1681</v>
      </c>
      <c r="G1277">
        <v>-6.4424999999999999</v>
      </c>
      <c r="H1277" t="s">
        <v>423</v>
      </c>
    </row>
    <row r="1278" spans="6:8" x14ac:dyDescent="0.3">
      <c r="F1278" t="s">
        <v>1682</v>
      </c>
      <c r="G1278">
        <v>754.53</v>
      </c>
      <c r="H1278" t="s">
        <v>433</v>
      </c>
    </row>
    <row r="1279" spans="6:8" x14ac:dyDescent="0.3">
      <c r="F1279" t="s">
        <v>1683</v>
      </c>
      <c r="G1279">
        <v>3696.2820000000002</v>
      </c>
      <c r="H1279" t="s">
        <v>433</v>
      </c>
    </row>
    <row r="1280" spans="6:8" x14ac:dyDescent="0.3">
      <c r="F1280" t="s">
        <v>1684</v>
      </c>
      <c r="G1280">
        <v>-21.945</v>
      </c>
      <c r="H1280" t="s">
        <v>423</v>
      </c>
    </row>
    <row r="1281" spans="6:8" x14ac:dyDescent="0.3">
      <c r="F1281" t="s">
        <v>1685</v>
      </c>
      <c r="G1281">
        <v>376.94200000000001</v>
      </c>
      <c r="H1281" t="s">
        <v>427</v>
      </c>
    </row>
    <row r="1282" spans="6:8" x14ac:dyDescent="0.3">
      <c r="F1282" t="s">
        <v>1686</v>
      </c>
      <c r="G1282">
        <v>173.0316</v>
      </c>
      <c r="H1282" t="s">
        <v>427</v>
      </c>
    </row>
    <row r="1283" spans="6:8" x14ac:dyDescent="0.3">
      <c r="F1283" t="s">
        <v>1687</v>
      </c>
      <c r="G1283">
        <v>84.991499999999988</v>
      </c>
      <c r="H1283" t="s">
        <v>423</v>
      </c>
    </row>
    <row r="1284" spans="6:8" x14ac:dyDescent="0.3">
      <c r="F1284" t="s">
        <v>1688</v>
      </c>
      <c r="G1284">
        <v>2.6783999999999999</v>
      </c>
      <c r="H1284" t="s">
        <v>423</v>
      </c>
    </row>
    <row r="1285" spans="6:8" x14ac:dyDescent="0.3">
      <c r="F1285" t="s">
        <v>1689</v>
      </c>
      <c r="G1285">
        <v>-3.2970000000000002</v>
      </c>
      <c r="H1285" t="s">
        <v>423</v>
      </c>
    </row>
    <row r="1286" spans="6:8" x14ac:dyDescent="0.3">
      <c r="F1286" t="s">
        <v>1690</v>
      </c>
      <c r="G1286">
        <v>106.34399999999999</v>
      </c>
      <c r="H1286" t="s">
        <v>427</v>
      </c>
    </row>
    <row r="1287" spans="6:8" x14ac:dyDescent="0.3">
      <c r="F1287" t="s">
        <v>1691</v>
      </c>
      <c r="G1287">
        <v>30.294</v>
      </c>
      <c r="H1287" t="s">
        <v>423</v>
      </c>
    </row>
    <row r="1288" spans="6:8" x14ac:dyDescent="0.3">
      <c r="F1288" t="s">
        <v>1692</v>
      </c>
      <c r="G1288">
        <v>59.996000000000002</v>
      </c>
      <c r="H1288" t="s">
        <v>423</v>
      </c>
    </row>
    <row r="1289" spans="6:8" x14ac:dyDescent="0.3">
      <c r="F1289" t="s">
        <v>1693</v>
      </c>
      <c r="G1289">
        <v>896.85050000000012</v>
      </c>
      <c r="H1289" t="s">
        <v>433</v>
      </c>
    </row>
    <row r="1290" spans="6:8" x14ac:dyDescent="0.3">
      <c r="F1290" t="s">
        <v>1694</v>
      </c>
      <c r="G1290">
        <v>162.61920000000001</v>
      </c>
      <c r="H1290" t="s">
        <v>427</v>
      </c>
    </row>
    <row r="1291" spans="6:8" x14ac:dyDescent="0.3">
      <c r="F1291" t="s">
        <v>1695</v>
      </c>
      <c r="G1291">
        <v>276.05680000000001</v>
      </c>
      <c r="H1291" t="s">
        <v>427</v>
      </c>
    </row>
    <row r="1292" spans="6:8" x14ac:dyDescent="0.3">
      <c r="F1292" t="s">
        <v>1696</v>
      </c>
      <c r="G1292">
        <v>518.33600000000001</v>
      </c>
      <c r="H1292" t="s">
        <v>433</v>
      </c>
    </row>
    <row r="1293" spans="6:8" x14ac:dyDescent="0.3">
      <c r="F1293" t="s">
        <v>1697</v>
      </c>
      <c r="G1293">
        <v>899.95</v>
      </c>
      <c r="H1293" t="s">
        <v>433</v>
      </c>
    </row>
    <row r="1294" spans="6:8" x14ac:dyDescent="0.3">
      <c r="F1294" t="s">
        <v>1698</v>
      </c>
      <c r="G1294">
        <v>339.1925</v>
      </c>
      <c r="H1294" t="s">
        <v>427</v>
      </c>
    </row>
    <row r="1295" spans="6:8" x14ac:dyDescent="0.3">
      <c r="F1295" t="s">
        <v>1699</v>
      </c>
      <c r="G1295">
        <v>55.311300000000003</v>
      </c>
      <c r="H1295" t="s">
        <v>423</v>
      </c>
    </row>
    <row r="1296" spans="6:8" x14ac:dyDescent="0.3">
      <c r="F1296" t="s">
        <v>1700</v>
      </c>
      <c r="G1296">
        <v>7.4340000000000002</v>
      </c>
      <c r="H1296" t="s">
        <v>423</v>
      </c>
    </row>
    <row r="1297" spans="6:8" x14ac:dyDescent="0.3">
      <c r="F1297" t="s">
        <v>1701</v>
      </c>
      <c r="G1297">
        <v>28.537600000000001</v>
      </c>
      <c r="H1297" t="s">
        <v>423</v>
      </c>
    </row>
    <row r="1298" spans="6:8" x14ac:dyDescent="0.3">
      <c r="F1298" t="s">
        <v>1702</v>
      </c>
      <c r="G1298">
        <v>52.3476</v>
      </c>
      <c r="H1298" t="s">
        <v>423</v>
      </c>
    </row>
    <row r="1299" spans="6:8" x14ac:dyDescent="0.3">
      <c r="F1299" t="s">
        <v>1703</v>
      </c>
      <c r="G1299">
        <v>38.808000000000007</v>
      </c>
      <c r="H1299" t="s">
        <v>423</v>
      </c>
    </row>
    <row r="1300" spans="6:8" x14ac:dyDescent="0.3">
      <c r="F1300" t="s">
        <v>1704</v>
      </c>
      <c r="G1300">
        <v>27.077200000000001</v>
      </c>
      <c r="H1300" t="s">
        <v>423</v>
      </c>
    </row>
    <row r="1301" spans="6:8" x14ac:dyDescent="0.3">
      <c r="F1301" t="s">
        <v>1705</v>
      </c>
      <c r="G1301">
        <v>18.815999999999999</v>
      </c>
      <c r="H1301" t="s">
        <v>423</v>
      </c>
    </row>
    <row r="1302" spans="6:8" x14ac:dyDescent="0.3">
      <c r="F1302" t="s">
        <v>1706</v>
      </c>
      <c r="G1302">
        <v>-427.85860000000002</v>
      </c>
      <c r="H1302" t="s">
        <v>423</v>
      </c>
    </row>
    <row r="1303" spans="6:8" x14ac:dyDescent="0.3">
      <c r="F1303" t="s">
        <v>1707</v>
      </c>
      <c r="G1303">
        <v>-7.1054273576010019E-15</v>
      </c>
      <c r="H1303" t="s">
        <v>423</v>
      </c>
    </row>
    <row r="1304" spans="6:8" x14ac:dyDescent="0.3">
      <c r="F1304" t="s">
        <v>1708</v>
      </c>
      <c r="G1304">
        <v>-201.5128</v>
      </c>
      <c r="H1304" t="s">
        <v>423</v>
      </c>
    </row>
    <row r="1305" spans="6:8" x14ac:dyDescent="0.3">
      <c r="F1305" t="s">
        <v>1709</v>
      </c>
      <c r="G1305">
        <v>284.06920000000002</v>
      </c>
      <c r="H1305" t="s">
        <v>427</v>
      </c>
    </row>
    <row r="1306" spans="6:8" x14ac:dyDescent="0.3">
      <c r="F1306" t="s">
        <v>1710</v>
      </c>
      <c r="G1306">
        <v>90.745200000000011</v>
      </c>
      <c r="H1306" t="s">
        <v>423</v>
      </c>
    </row>
    <row r="1307" spans="6:8" x14ac:dyDescent="0.3">
      <c r="F1307" t="s">
        <v>1711</v>
      </c>
      <c r="G1307">
        <v>19.429600000000001</v>
      </c>
      <c r="H1307" t="s">
        <v>423</v>
      </c>
    </row>
    <row r="1308" spans="6:8" x14ac:dyDescent="0.3">
      <c r="F1308" t="s">
        <v>1712</v>
      </c>
      <c r="G1308">
        <v>-11.882199999999999</v>
      </c>
      <c r="H1308" t="s">
        <v>423</v>
      </c>
    </row>
    <row r="1309" spans="6:8" x14ac:dyDescent="0.3">
      <c r="F1309" t="s">
        <v>1713</v>
      </c>
      <c r="G1309">
        <v>7.1555999999999997</v>
      </c>
      <c r="H1309" t="s">
        <v>423</v>
      </c>
    </row>
    <row r="1310" spans="6:8" x14ac:dyDescent="0.3">
      <c r="F1310" t="s">
        <v>1714</v>
      </c>
      <c r="G1310">
        <v>22.9086</v>
      </c>
      <c r="H1310" t="s">
        <v>423</v>
      </c>
    </row>
    <row r="1311" spans="6:8" x14ac:dyDescent="0.3">
      <c r="F1311" t="s">
        <v>1715</v>
      </c>
      <c r="G1311">
        <v>-10.135199999999999</v>
      </c>
      <c r="H1311" t="s">
        <v>423</v>
      </c>
    </row>
    <row r="1312" spans="6:8" x14ac:dyDescent="0.3">
      <c r="F1312" t="s">
        <v>1716</v>
      </c>
      <c r="G1312">
        <v>24.57</v>
      </c>
      <c r="H1312" t="s">
        <v>423</v>
      </c>
    </row>
    <row r="1313" spans="6:8" x14ac:dyDescent="0.3">
      <c r="F1313" t="s">
        <v>1717</v>
      </c>
      <c r="G1313">
        <v>18.057600000000001</v>
      </c>
      <c r="H1313" t="s">
        <v>423</v>
      </c>
    </row>
    <row r="1314" spans="6:8" x14ac:dyDescent="0.3">
      <c r="F1314" t="s">
        <v>1718</v>
      </c>
      <c r="G1314">
        <v>155.54560000000001</v>
      </c>
      <c r="H1314" t="s">
        <v>427</v>
      </c>
    </row>
    <row r="1315" spans="6:8" x14ac:dyDescent="0.3">
      <c r="F1315" t="s">
        <v>1719</v>
      </c>
      <c r="G1315">
        <v>44.194499999999998</v>
      </c>
      <c r="H1315" t="s">
        <v>423</v>
      </c>
    </row>
    <row r="1316" spans="6:8" x14ac:dyDescent="0.3">
      <c r="F1316" t="s">
        <v>1720</v>
      </c>
      <c r="G1316">
        <v>218.29079999999999</v>
      </c>
      <c r="H1316" t="s">
        <v>427</v>
      </c>
    </row>
    <row r="1317" spans="6:8" x14ac:dyDescent="0.3">
      <c r="F1317" t="s">
        <v>1721</v>
      </c>
      <c r="G1317">
        <v>576.89989999999989</v>
      </c>
      <c r="H1317" t="s">
        <v>433</v>
      </c>
    </row>
    <row r="1318" spans="6:8" x14ac:dyDescent="0.3">
      <c r="F1318" t="s">
        <v>1722</v>
      </c>
      <c r="G1318">
        <v>22.676400000000001</v>
      </c>
      <c r="H1318" t="s">
        <v>423</v>
      </c>
    </row>
    <row r="1319" spans="6:8" x14ac:dyDescent="0.3">
      <c r="F1319" t="s">
        <v>1723</v>
      </c>
      <c r="G1319">
        <v>29.537500000000001</v>
      </c>
      <c r="H1319" t="s">
        <v>423</v>
      </c>
    </row>
    <row r="1320" spans="6:8" x14ac:dyDescent="0.3">
      <c r="F1320" t="s">
        <v>1724</v>
      </c>
      <c r="G1320">
        <v>88.192899999999995</v>
      </c>
      <c r="H1320" t="s">
        <v>423</v>
      </c>
    </row>
    <row r="1321" spans="6:8" x14ac:dyDescent="0.3">
      <c r="F1321" t="s">
        <v>1725</v>
      </c>
      <c r="G1321">
        <v>6.0995999999999997</v>
      </c>
      <c r="H1321" t="s">
        <v>423</v>
      </c>
    </row>
    <row r="1322" spans="6:8" x14ac:dyDescent="0.3">
      <c r="F1322" t="s">
        <v>1726</v>
      </c>
      <c r="G1322">
        <v>34.164000000000001</v>
      </c>
      <c r="H1322" t="s">
        <v>423</v>
      </c>
    </row>
    <row r="1323" spans="6:8" x14ac:dyDescent="0.3">
      <c r="F1323" t="s">
        <v>1727</v>
      </c>
      <c r="G1323">
        <v>2.3997000000000002</v>
      </c>
      <c r="H1323" t="s">
        <v>423</v>
      </c>
    </row>
    <row r="1324" spans="6:8" x14ac:dyDescent="0.3">
      <c r="F1324" t="s">
        <v>1728</v>
      </c>
      <c r="G1324">
        <v>13.9986</v>
      </c>
      <c r="H1324" t="s">
        <v>423</v>
      </c>
    </row>
    <row r="1325" spans="6:8" x14ac:dyDescent="0.3">
      <c r="F1325" t="s">
        <v>1729</v>
      </c>
      <c r="G1325">
        <v>36.447299999999998</v>
      </c>
      <c r="H1325" t="s">
        <v>423</v>
      </c>
    </row>
    <row r="1326" spans="6:8" x14ac:dyDescent="0.3">
      <c r="F1326" t="s">
        <v>1730</v>
      </c>
      <c r="G1326">
        <v>90.992999999999995</v>
      </c>
      <c r="H1326" t="s">
        <v>423</v>
      </c>
    </row>
    <row r="1327" spans="6:8" x14ac:dyDescent="0.3">
      <c r="F1327" t="s">
        <v>1731</v>
      </c>
      <c r="G1327">
        <v>130.63050000000001</v>
      </c>
      <c r="H1327" t="s">
        <v>427</v>
      </c>
    </row>
    <row r="1328" spans="6:8" x14ac:dyDescent="0.3">
      <c r="F1328" t="s">
        <v>1732</v>
      </c>
      <c r="G1328">
        <v>127.602</v>
      </c>
      <c r="H1328" t="s">
        <v>427</v>
      </c>
    </row>
    <row r="1329" spans="6:8" x14ac:dyDescent="0.3">
      <c r="F1329" t="s">
        <v>1733</v>
      </c>
      <c r="G1329">
        <v>38.252400000000002</v>
      </c>
      <c r="H1329" t="s">
        <v>423</v>
      </c>
    </row>
    <row r="1330" spans="6:8" x14ac:dyDescent="0.3">
      <c r="F1330" t="s">
        <v>1734</v>
      </c>
      <c r="G1330">
        <v>995.9004000000001</v>
      </c>
      <c r="H1330" t="s">
        <v>433</v>
      </c>
    </row>
    <row r="1331" spans="6:8" x14ac:dyDescent="0.3">
      <c r="F1331" t="s">
        <v>1735</v>
      </c>
      <c r="G1331">
        <v>479.94000000000011</v>
      </c>
      <c r="H1331" t="s">
        <v>427</v>
      </c>
    </row>
    <row r="1332" spans="6:8" x14ac:dyDescent="0.3">
      <c r="F1332" t="s">
        <v>1736</v>
      </c>
      <c r="G1332">
        <v>2155.8921999999998</v>
      </c>
      <c r="H1332" t="s">
        <v>433</v>
      </c>
    </row>
    <row r="1333" spans="6:8" x14ac:dyDescent="0.3">
      <c r="F1333" t="s">
        <v>1737</v>
      </c>
      <c r="G1333">
        <v>414.91800000000001</v>
      </c>
      <c r="H1333" t="s">
        <v>427</v>
      </c>
    </row>
    <row r="1334" spans="6:8" x14ac:dyDescent="0.3">
      <c r="F1334" t="s">
        <v>1738</v>
      </c>
      <c r="G1334">
        <v>123.51</v>
      </c>
      <c r="H1334" t="s">
        <v>427</v>
      </c>
    </row>
    <row r="1335" spans="6:8" x14ac:dyDescent="0.3">
      <c r="F1335" t="s">
        <v>1739</v>
      </c>
      <c r="G1335">
        <v>21.634</v>
      </c>
      <c r="H1335" t="s">
        <v>423</v>
      </c>
    </row>
    <row r="1336" spans="6:8" x14ac:dyDescent="0.3">
      <c r="F1336" t="s">
        <v>1740</v>
      </c>
      <c r="G1336">
        <v>58.944000000000003</v>
      </c>
      <c r="H1336" t="s">
        <v>423</v>
      </c>
    </row>
    <row r="1337" spans="6:8" x14ac:dyDescent="0.3">
      <c r="F1337" t="s">
        <v>1741</v>
      </c>
      <c r="G1337">
        <v>23.044499999999999</v>
      </c>
      <c r="H1337" t="s">
        <v>423</v>
      </c>
    </row>
    <row r="1338" spans="6:8" x14ac:dyDescent="0.3">
      <c r="F1338" t="s">
        <v>1742</v>
      </c>
      <c r="G1338">
        <v>115.152</v>
      </c>
      <c r="H1338" t="s">
        <v>427</v>
      </c>
    </row>
    <row r="1339" spans="6:8" x14ac:dyDescent="0.3">
      <c r="F1339" t="s">
        <v>1743</v>
      </c>
      <c r="G1339">
        <v>39.880799999999986</v>
      </c>
      <c r="H1339" t="s">
        <v>423</v>
      </c>
    </row>
    <row r="1340" spans="6:8" x14ac:dyDescent="0.3">
      <c r="F1340" t="s">
        <v>1744</v>
      </c>
      <c r="G1340">
        <v>13.7598</v>
      </c>
      <c r="H1340" t="s">
        <v>423</v>
      </c>
    </row>
    <row r="1341" spans="6:8" x14ac:dyDescent="0.3">
      <c r="F1341" t="s">
        <v>1745</v>
      </c>
      <c r="G1341">
        <v>151.65950000000001</v>
      </c>
      <c r="H1341" t="s">
        <v>427</v>
      </c>
    </row>
    <row r="1342" spans="6:8" x14ac:dyDescent="0.3">
      <c r="F1342" t="s">
        <v>1746</v>
      </c>
      <c r="G1342">
        <v>254.334</v>
      </c>
      <c r="H1342" t="s">
        <v>427</v>
      </c>
    </row>
    <row r="1343" spans="6:8" x14ac:dyDescent="0.3">
      <c r="F1343" t="s">
        <v>1747</v>
      </c>
      <c r="G1343">
        <v>39.53</v>
      </c>
      <c r="H1343" t="s">
        <v>423</v>
      </c>
    </row>
    <row r="1344" spans="6:8" x14ac:dyDescent="0.3">
      <c r="F1344" t="s">
        <v>1748</v>
      </c>
      <c r="G1344">
        <v>94.550399999999996</v>
      </c>
      <c r="H1344" t="s">
        <v>423</v>
      </c>
    </row>
    <row r="1345" spans="6:8" x14ac:dyDescent="0.3">
      <c r="F1345" t="s">
        <v>1749</v>
      </c>
      <c r="G1345">
        <v>9.7607999999999997</v>
      </c>
      <c r="H1345" t="s">
        <v>423</v>
      </c>
    </row>
    <row r="1346" spans="6:8" x14ac:dyDescent="0.3">
      <c r="F1346" t="s">
        <v>1750</v>
      </c>
      <c r="G1346">
        <v>12.1584</v>
      </c>
      <c r="H1346" t="s">
        <v>423</v>
      </c>
    </row>
    <row r="1347" spans="6:8" x14ac:dyDescent="0.3">
      <c r="F1347" t="s">
        <v>1751</v>
      </c>
      <c r="G1347">
        <v>43.777200000000001</v>
      </c>
      <c r="H1347" t="s">
        <v>423</v>
      </c>
    </row>
    <row r="1348" spans="6:8" x14ac:dyDescent="0.3">
      <c r="F1348" t="s">
        <v>1752</v>
      </c>
      <c r="G1348">
        <v>15.2064</v>
      </c>
      <c r="H1348" t="s">
        <v>423</v>
      </c>
    </row>
    <row r="1349" spans="6:8" x14ac:dyDescent="0.3">
      <c r="F1349" t="s">
        <v>1753</v>
      </c>
      <c r="G1349">
        <v>-5.7077999999999998</v>
      </c>
      <c r="H1349" t="s">
        <v>423</v>
      </c>
    </row>
    <row r="1350" spans="6:8" x14ac:dyDescent="0.3">
      <c r="F1350" t="s">
        <v>1754</v>
      </c>
      <c r="G1350">
        <v>36.915999999999997</v>
      </c>
      <c r="H1350" t="s">
        <v>423</v>
      </c>
    </row>
    <row r="1351" spans="6:8" x14ac:dyDescent="0.3">
      <c r="F1351" t="s">
        <v>1755</v>
      </c>
      <c r="G1351">
        <v>55.33</v>
      </c>
      <c r="H1351" t="s">
        <v>423</v>
      </c>
    </row>
    <row r="1352" spans="6:8" x14ac:dyDescent="0.3">
      <c r="F1352" t="s">
        <v>1756</v>
      </c>
      <c r="G1352">
        <v>-1147.4000000000001</v>
      </c>
      <c r="H1352" t="s">
        <v>423</v>
      </c>
    </row>
    <row r="1353" spans="6:8" x14ac:dyDescent="0.3">
      <c r="F1353" t="s">
        <v>1757</v>
      </c>
      <c r="G1353">
        <v>-415.9325</v>
      </c>
      <c r="H1353" t="s">
        <v>423</v>
      </c>
    </row>
    <row r="1354" spans="6:8" x14ac:dyDescent="0.3">
      <c r="F1354" t="s">
        <v>1758</v>
      </c>
      <c r="G1354">
        <v>-669.54480000000035</v>
      </c>
      <c r="H1354" t="s">
        <v>423</v>
      </c>
    </row>
    <row r="1355" spans="6:8" x14ac:dyDescent="0.3">
      <c r="F1355" t="s">
        <v>1759</v>
      </c>
      <c r="G1355">
        <v>-34.728400000000001</v>
      </c>
      <c r="H1355" t="s">
        <v>423</v>
      </c>
    </row>
    <row r="1356" spans="6:8" x14ac:dyDescent="0.3">
      <c r="F1356" t="s">
        <v>1760</v>
      </c>
      <c r="G1356">
        <v>15.618</v>
      </c>
      <c r="H1356" t="s">
        <v>423</v>
      </c>
    </row>
    <row r="1357" spans="6:8" x14ac:dyDescent="0.3">
      <c r="F1357" t="s">
        <v>1761</v>
      </c>
      <c r="G1357">
        <v>-4.8887999999999998</v>
      </c>
      <c r="H1357" t="s">
        <v>423</v>
      </c>
    </row>
    <row r="1358" spans="6:8" x14ac:dyDescent="0.3">
      <c r="F1358" t="s">
        <v>1762</v>
      </c>
      <c r="G1358">
        <v>4.6871999999999989</v>
      </c>
      <c r="H1358" t="s">
        <v>423</v>
      </c>
    </row>
    <row r="1359" spans="6:8" x14ac:dyDescent="0.3">
      <c r="F1359" t="s">
        <v>1763</v>
      </c>
      <c r="G1359">
        <v>0.80879999999999974</v>
      </c>
      <c r="H1359" t="s">
        <v>423</v>
      </c>
    </row>
    <row r="1360" spans="6:8" x14ac:dyDescent="0.3">
      <c r="F1360" t="s">
        <v>1764</v>
      </c>
      <c r="G1360">
        <v>-0.91520000000000135</v>
      </c>
      <c r="H1360" t="s">
        <v>423</v>
      </c>
    </row>
    <row r="1361" spans="6:8" x14ac:dyDescent="0.3">
      <c r="F1361" t="s">
        <v>1765</v>
      </c>
      <c r="G1361">
        <v>162.0129</v>
      </c>
      <c r="H1361" t="s">
        <v>427</v>
      </c>
    </row>
    <row r="1362" spans="6:8" x14ac:dyDescent="0.3">
      <c r="F1362" t="s">
        <v>1766</v>
      </c>
      <c r="G1362">
        <v>-0.29919999999999991</v>
      </c>
      <c r="H1362" t="s">
        <v>423</v>
      </c>
    </row>
    <row r="1363" spans="6:8" x14ac:dyDescent="0.3">
      <c r="F1363" t="s">
        <v>1767</v>
      </c>
      <c r="G1363">
        <v>-173.12880000000001</v>
      </c>
      <c r="H1363" t="s">
        <v>423</v>
      </c>
    </row>
    <row r="1364" spans="6:8" x14ac:dyDescent="0.3">
      <c r="F1364" t="s">
        <v>1768</v>
      </c>
      <c r="G1364">
        <v>410.35199999999998</v>
      </c>
      <c r="H1364" t="s">
        <v>427</v>
      </c>
    </row>
    <row r="1365" spans="6:8" x14ac:dyDescent="0.3">
      <c r="F1365" t="s">
        <v>1769</v>
      </c>
      <c r="G1365">
        <v>-70.831199999999995</v>
      </c>
      <c r="H1365" t="s">
        <v>423</v>
      </c>
    </row>
    <row r="1366" spans="6:8" x14ac:dyDescent="0.3">
      <c r="F1366" t="s">
        <v>1770</v>
      </c>
      <c r="G1366">
        <v>1179.374</v>
      </c>
      <c r="H1366" t="s">
        <v>433</v>
      </c>
    </row>
    <row r="1367" spans="6:8" x14ac:dyDescent="0.3">
      <c r="F1367" t="s">
        <v>1771</v>
      </c>
      <c r="G1367">
        <v>-470.46960000000001</v>
      </c>
      <c r="H1367" t="s">
        <v>423</v>
      </c>
    </row>
    <row r="1368" spans="6:8" x14ac:dyDescent="0.3">
      <c r="F1368" t="s">
        <v>1772</v>
      </c>
      <c r="G1368">
        <v>-24.495999999999999</v>
      </c>
      <c r="H1368" t="s">
        <v>423</v>
      </c>
    </row>
    <row r="1369" spans="6:8" x14ac:dyDescent="0.3">
      <c r="F1369" t="s">
        <v>1773</v>
      </c>
      <c r="G1369">
        <v>-635.44399999999996</v>
      </c>
      <c r="H1369" t="s">
        <v>423</v>
      </c>
    </row>
    <row r="1370" spans="6:8" x14ac:dyDescent="0.3">
      <c r="F1370" t="s">
        <v>1774</v>
      </c>
      <c r="G1370">
        <v>151.32320000000001</v>
      </c>
      <c r="H1370" t="s">
        <v>427</v>
      </c>
    </row>
    <row r="1371" spans="6:8" x14ac:dyDescent="0.3">
      <c r="F1371" t="s">
        <v>1775</v>
      </c>
      <c r="G1371">
        <v>259.12560000000002</v>
      </c>
      <c r="H1371" t="s">
        <v>427</v>
      </c>
    </row>
    <row r="1372" spans="6:8" x14ac:dyDescent="0.3">
      <c r="F1372" t="s">
        <v>1776</v>
      </c>
      <c r="G1372">
        <v>14.9184</v>
      </c>
      <c r="H1372" t="s">
        <v>423</v>
      </c>
    </row>
    <row r="1373" spans="6:8" x14ac:dyDescent="0.3">
      <c r="F1373" t="s">
        <v>1777</v>
      </c>
      <c r="G1373">
        <v>54.716400000000021</v>
      </c>
      <c r="H1373" t="s">
        <v>423</v>
      </c>
    </row>
    <row r="1374" spans="6:8" x14ac:dyDescent="0.3">
      <c r="F1374" t="s">
        <v>1778</v>
      </c>
      <c r="G1374">
        <v>608.04300000000001</v>
      </c>
      <c r="H1374" t="s">
        <v>433</v>
      </c>
    </row>
    <row r="1375" spans="6:8" x14ac:dyDescent="0.3">
      <c r="F1375" t="s">
        <v>1779</v>
      </c>
      <c r="G1375">
        <v>4.4020000000000001</v>
      </c>
      <c r="H1375" t="s">
        <v>423</v>
      </c>
    </row>
    <row r="1376" spans="6:8" x14ac:dyDescent="0.3">
      <c r="F1376" t="s">
        <v>1780</v>
      </c>
      <c r="G1376">
        <v>77.88</v>
      </c>
      <c r="H1376" t="s">
        <v>423</v>
      </c>
    </row>
    <row r="1377" spans="6:8" x14ac:dyDescent="0.3">
      <c r="F1377" t="s">
        <v>1781</v>
      </c>
      <c r="G1377">
        <v>13.006399999999999</v>
      </c>
      <c r="H1377" t="s">
        <v>423</v>
      </c>
    </row>
    <row r="1378" spans="6:8" x14ac:dyDescent="0.3">
      <c r="F1378" t="s">
        <v>1782</v>
      </c>
      <c r="G1378">
        <v>29.196999999999999</v>
      </c>
      <c r="H1378" t="s">
        <v>423</v>
      </c>
    </row>
    <row r="1379" spans="6:8" x14ac:dyDescent="0.3">
      <c r="F1379" t="s">
        <v>1783</v>
      </c>
      <c r="G1379">
        <v>170.85120000000001</v>
      </c>
      <c r="H1379" t="s">
        <v>427</v>
      </c>
    </row>
    <row r="1380" spans="6:8" x14ac:dyDescent="0.3">
      <c r="F1380" t="s">
        <v>1784</v>
      </c>
      <c r="G1380">
        <v>-7.4416000000000011</v>
      </c>
      <c r="H1380" t="s">
        <v>423</v>
      </c>
    </row>
    <row r="1381" spans="6:8" x14ac:dyDescent="0.3">
      <c r="F1381" t="s">
        <v>1785</v>
      </c>
      <c r="G1381">
        <v>870.16000000000008</v>
      </c>
      <c r="H1381" t="s">
        <v>433</v>
      </c>
    </row>
    <row r="1382" spans="6:8" x14ac:dyDescent="0.3">
      <c r="F1382" t="s">
        <v>1786</v>
      </c>
      <c r="G1382">
        <v>34.070399999999999</v>
      </c>
      <c r="H1382" t="s">
        <v>423</v>
      </c>
    </row>
    <row r="1383" spans="6:8" x14ac:dyDescent="0.3">
      <c r="F1383" t="s">
        <v>1787</v>
      </c>
      <c r="G1383">
        <v>-104.1285</v>
      </c>
      <c r="H1383" t="s">
        <v>423</v>
      </c>
    </row>
    <row r="1384" spans="6:8" x14ac:dyDescent="0.3">
      <c r="F1384" t="s">
        <v>1788</v>
      </c>
      <c r="G1384">
        <v>-126.7068</v>
      </c>
      <c r="H1384" t="s">
        <v>423</v>
      </c>
    </row>
    <row r="1385" spans="6:8" x14ac:dyDescent="0.3">
      <c r="F1385" t="s">
        <v>1789</v>
      </c>
      <c r="G1385">
        <v>-218.352</v>
      </c>
      <c r="H1385" t="s">
        <v>423</v>
      </c>
    </row>
    <row r="1386" spans="6:8" x14ac:dyDescent="0.3">
      <c r="F1386" t="s">
        <v>1790</v>
      </c>
      <c r="G1386">
        <v>120.872</v>
      </c>
      <c r="H1386" t="s">
        <v>427</v>
      </c>
    </row>
    <row r="1387" spans="6:8" x14ac:dyDescent="0.3">
      <c r="F1387" t="s">
        <v>1791</v>
      </c>
      <c r="G1387">
        <v>-9.93719999999999</v>
      </c>
      <c r="H1387" t="s">
        <v>423</v>
      </c>
    </row>
    <row r="1388" spans="6:8" x14ac:dyDescent="0.3">
      <c r="F1388" t="s">
        <v>1792</v>
      </c>
      <c r="G1388">
        <v>106.47</v>
      </c>
      <c r="H1388" t="s">
        <v>427</v>
      </c>
    </row>
    <row r="1389" spans="6:8" x14ac:dyDescent="0.3">
      <c r="F1389" t="s">
        <v>1793</v>
      </c>
      <c r="G1389">
        <v>14.301</v>
      </c>
      <c r="H1389" t="s">
        <v>423</v>
      </c>
    </row>
    <row r="1390" spans="6:8" x14ac:dyDescent="0.3">
      <c r="F1390" t="s">
        <v>1794</v>
      </c>
      <c r="G1390">
        <v>-31.077200000000001</v>
      </c>
      <c r="H1390" t="s">
        <v>423</v>
      </c>
    </row>
    <row r="1391" spans="6:8" x14ac:dyDescent="0.3">
      <c r="F1391" t="s">
        <v>1795</v>
      </c>
      <c r="G1391">
        <v>1822.7565999999999</v>
      </c>
      <c r="H1391" t="s">
        <v>433</v>
      </c>
    </row>
    <row r="1392" spans="6:8" x14ac:dyDescent="0.3">
      <c r="F1392" t="s">
        <v>1796</v>
      </c>
      <c r="G1392">
        <v>-128.7972</v>
      </c>
      <c r="H1392" t="s">
        <v>423</v>
      </c>
    </row>
    <row r="1393" spans="6:8" x14ac:dyDescent="0.3">
      <c r="F1393" t="s">
        <v>1797</v>
      </c>
      <c r="G1393">
        <v>153.99299999999999</v>
      </c>
      <c r="H1393" t="s">
        <v>427</v>
      </c>
    </row>
    <row r="1394" spans="6:8" x14ac:dyDescent="0.3">
      <c r="F1394" t="s">
        <v>1798</v>
      </c>
      <c r="G1394">
        <v>83.997600000000034</v>
      </c>
      <c r="H1394" t="s">
        <v>423</v>
      </c>
    </row>
    <row r="1395" spans="6:8" x14ac:dyDescent="0.3">
      <c r="F1395" t="s">
        <v>1799</v>
      </c>
      <c r="G1395">
        <v>438.19299999999998</v>
      </c>
      <c r="H1395" t="s">
        <v>427</v>
      </c>
    </row>
    <row r="1396" spans="6:8" x14ac:dyDescent="0.3">
      <c r="F1396" t="s">
        <v>1800</v>
      </c>
      <c r="G1396">
        <v>1039.9792</v>
      </c>
      <c r="H1396" t="s">
        <v>433</v>
      </c>
    </row>
    <row r="1397" spans="6:8" x14ac:dyDescent="0.3">
      <c r="F1397" t="s">
        <v>1801</v>
      </c>
      <c r="G1397">
        <v>1104.4765</v>
      </c>
      <c r="H1397" t="s">
        <v>433</v>
      </c>
    </row>
    <row r="1398" spans="6:8" x14ac:dyDescent="0.3">
      <c r="F1398" t="s">
        <v>1802</v>
      </c>
      <c r="G1398">
        <v>195.35499999999999</v>
      </c>
      <c r="H1398" t="s">
        <v>427</v>
      </c>
    </row>
    <row r="1399" spans="6:8" x14ac:dyDescent="0.3">
      <c r="F1399" t="s">
        <v>1803</v>
      </c>
      <c r="G1399">
        <v>17.875</v>
      </c>
      <c r="H1399" t="s">
        <v>423</v>
      </c>
    </row>
    <row r="1400" spans="6:8" x14ac:dyDescent="0.3">
      <c r="F1400" t="s">
        <v>1804</v>
      </c>
      <c r="G1400">
        <v>229.64519999999999</v>
      </c>
      <c r="H1400" t="s">
        <v>427</v>
      </c>
    </row>
    <row r="1401" spans="6:8" x14ac:dyDescent="0.3">
      <c r="F1401" t="s">
        <v>1805</v>
      </c>
      <c r="G1401">
        <v>14.923999999999999</v>
      </c>
      <c r="H1401" t="s">
        <v>423</v>
      </c>
    </row>
    <row r="1402" spans="6:8" x14ac:dyDescent="0.3">
      <c r="F1402" t="s">
        <v>1806</v>
      </c>
      <c r="G1402">
        <v>102.708</v>
      </c>
      <c r="H1402" t="s">
        <v>427</v>
      </c>
    </row>
    <row r="1403" spans="6:8" x14ac:dyDescent="0.3">
      <c r="F1403" t="s">
        <v>1807</v>
      </c>
      <c r="G1403">
        <v>5.5164999999999997</v>
      </c>
      <c r="H1403" t="s">
        <v>423</v>
      </c>
    </row>
    <row r="1404" spans="6:8" x14ac:dyDescent="0.3">
      <c r="F1404" t="s">
        <v>1808</v>
      </c>
      <c r="G1404">
        <v>319.61599999999999</v>
      </c>
      <c r="H1404" t="s">
        <v>427</v>
      </c>
    </row>
    <row r="1405" spans="6:8" x14ac:dyDescent="0.3">
      <c r="F1405" t="s">
        <v>1809</v>
      </c>
      <c r="G1405">
        <v>-1.3584000000000001</v>
      </c>
      <c r="H1405" t="s">
        <v>423</v>
      </c>
    </row>
    <row r="1406" spans="6:8" x14ac:dyDescent="0.3">
      <c r="F1406" t="s">
        <v>1810</v>
      </c>
      <c r="G1406">
        <v>-48.582599999999999</v>
      </c>
      <c r="H1406" t="s">
        <v>423</v>
      </c>
    </row>
    <row r="1407" spans="6:8" x14ac:dyDescent="0.3">
      <c r="F1407" t="s">
        <v>1811</v>
      </c>
      <c r="G1407">
        <v>38.012000000000008</v>
      </c>
      <c r="H1407" t="s">
        <v>423</v>
      </c>
    </row>
    <row r="1408" spans="6:8" x14ac:dyDescent="0.3">
      <c r="F1408" t="s">
        <v>1812</v>
      </c>
      <c r="G1408">
        <v>37.990499999999997</v>
      </c>
      <c r="H1408" t="s">
        <v>423</v>
      </c>
    </row>
    <row r="1409" spans="6:8" x14ac:dyDescent="0.3">
      <c r="F1409" t="s">
        <v>1813</v>
      </c>
      <c r="G1409">
        <v>140.93680000000001</v>
      </c>
      <c r="H1409" t="s">
        <v>427</v>
      </c>
    </row>
    <row r="1410" spans="6:8" x14ac:dyDescent="0.3">
      <c r="F1410" t="s">
        <v>1814</v>
      </c>
      <c r="G1410">
        <v>20.736000000000001</v>
      </c>
      <c r="H1410" t="s">
        <v>423</v>
      </c>
    </row>
    <row r="1411" spans="6:8" x14ac:dyDescent="0.3">
      <c r="F1411" t="s">
        <v>1815</v>
      </c>
      <c r="G1411">
        <v>17.876000000000001</v>
      </c>
      <c r="H1411" t="s">
        <v>423</v>
      </c>
    </row>
    <row r="1412" spans="6:8" x14ac:dyDescent="0.3">
      <c r="F1412" t="s">
        <v>1816</v>
      </c>
      <c r="G1412">
        <v>14.594799999999999</v>
      </c>
      <c r="H1412" t="s">
        <v>423</v>
      </c>
    </row>
    <row r="1413" spans="6:8" x14ac:dyDescent="0.3">
      <c r="F1413" t="s">
        <v>1817</v>
      </c>
      <c r="G1413">
        <v>8.2319999999999993</v>
      </c>
      <c r="H1413" t="s">
        <v>423</v>
      </c>
    </row>
    <row r="1414" spans="6:8" x14ac:dyDescent="0.3">
      <c r="F1414" t="s">
        <v>1818</v>
      </c>
      <c r="G1414">
        <v>48.630400000000002</v>
      </c>
      <c r="H1414" t="s">
        <v>423</v>
      </c>
    </row>
    <row r="1415" spans="6:8" x14ac:dyDescent="0.3">
      <c r="F1415" t="s">
        <v>1819</v>
      </c>
      <c r="G1415">
        <v>9.6319999999999997</v>
      </c>
      <c r="H1415" t="s">
        <v>423</v>
      </c>
    </row>
    <row r="1416" spans="6:8" x14ac:dyDescent="0.3">
      <c r="F1416" t="s">
        <v>1820</v>
      </c>
      <c r="G1416">
        <v>49.795199999999987</v>
      </c>
      <c r="H1416" t="s">
        <v>423</v>
      </c>
    </row>
    <row r="1417" spans="6:8" x14ac:dyDescent="0.3">
      <c r="F1417" t="s">
        <v>1821</v>
      </c>
      <c r="G1417">
        <v>13.552</v>
      </c>
      <c r="H1417" t="s">
        <v>423</v>
      </c>
    </row>
    <row r="1418" spans="6:8" x14ac:dyDescent="0.3">
      <c r="F1418" t="s">
        <v>1822</v>
      </c>
      <c r="G1418">
        <v>1.3</v>
      </c>
      <c r="H1418" t="s">
        <v>423</v>
      </c>
    </row>
    <row r="1419" spans="6:8" x14ac:dyDescent="0.3">
      <c r="F1419" t="s">
        <v>1823</v>
      </c>
      <c r="G1419">
        <v>2.2968000000000002</v>
      </c>
      <c r="H1419" t="s">
        <v>423</v>
      </c>
    </row>
    <row r="1420" spans="6:8" x14ac:dyDescent="0.3">
      <c r="F1420" t="s">
        <v>1824</v>
      </c>
      <c r="G1420">
        <v>956.9502</v>
      </c>
      <c r="H1420" t="s">
        <v>433</v>
      </c>
    </row>
    <row r="1421" spans="6:8" x14ac:dyDescent="0.3">
      <c r="F1421" t="s">
        <v>1825</v>
      </c>
      <c r="G1421">
        <v>1653.8255999999999</v>
      </c>
      <c r="H1421" t="s">
        <v>433</v>
      </c>
    </row>
    <row r="1422" spans="6:8" x14ac:dyDescent="0.3">
      <c r="F1422" t="s">
        <v>1826</v>
      </c>
      <c r="G1422">
        <v>329.04779999999988</v>
      </c>
      <c r="H1422" t="s">
        <v>427</v>
      </c>
    </row>
    <row r="1423" spans="6:8" x14ac:dyDescent="0.3">
      <c r="F1423" t="s">
        <v>1827</v>
      </c>
      <c r="G1423">
        <v>-294.7672</v>
      </c>
      <c r="H1423" t="s">
        <v>423</v>
      </c>
    </row>
    <row r="1424" spans="6:8" x14ac:dyDescent="0.3">
      <c r="F1424" t="s">
        <v>1828</v>
      </c>
      <c r="G1424">
        <v>24.196000000000002</v>
      </c>
      <c r="H1424" t="s">
        <v>423</v>
      </c>
    </row>
    <row r="1425" spans="6:8" x14ac:dyDescent="0.3">
      <c r="F1425" t="s">
        <v>1829</v>
      </c>
      <c r="G1425">
        <v>-78.186399999999992</v>
      </c>
      <c r="H1425" t="s">
        <v>423</v>
      </c>
    </row>
    <row r="1426" spans="6:8" x14ac:dyDescent="0.3">
      <c r="F1426" t="s">
        <v>1830</v>
      </c>
      <c r="G1426">
        <v>-103.482</v>
      </c>
      <c r="H1426" t="s">
        <v>423</v>
      </c>
    </row>
    <row r="1427" spans="6:8" x14ac:dyDescent="0.3">
      <c r="F1427" t="s">
        <v>1831</v>
      </c>
      <c r="G1427">
        <v>-81.167600000000007</v>
      </c>
      <c r="H1427" t="s">
        <v>423</v>
      </c>
    </row>
    <row r="1428" spans="6:8" x14ac:dyDescent="0.3">
      <c r="F1428" t="s">
        <v>1832</v>
      </c>
      <c r="G1428">
        <v>-8.5489999999999924</v>
      </c>
      <c r="H1428" t="s">
        <v>423</v>
      </c>
    </row>
    <row r="1429" spans="6:8" x14ac:dyDescent="0.3">
      <c r="F1429" t="s">
        <v>1833</v>
      </c>
      <c r="G1429">
        <v>222.58799999999999</v>
      </c>
      <c r="H1429" t="s">
        <v>427</v>
      </c>
    </row>
    <row r="1430" spans="6:8" x14ac:dyDescent="0.3">
      <c r="F1430" t="s">
        <v>1834</v>
      </c>
      <c r="G1430">
        <v>-418.548</v>
      </c>
      <c r="H1430" t="s">
        <v>423</v>
      </c>
    </row>
    <row r="1431" spans="6:8" x14ac:dyDescent="0.3">
      <c r="F1431" t="s">
        <v>1835</v>
      </c>
      <c r="G1431">
        <v>-70.489999999999995</v>
      </c>
      <c r="H1431" t="s">
        <v>423</v>
      </c>
    </row>
    <row r="1432" spans="6:8" x14ac:dyDescent="0.3">
      <c r="F1432" t="s">
        <v>1836</v>
      </c>
      <c r="G1432">
        <v>311.18360000000001</v>
      </c>
      <c r="H1432" t="s">
        <v>427</v>
      </c>
    </row>
    <row r="1433" spans="6:8" x14ac:dyDescent="0.3">
      <c r="F1433" t="s">
        <v>1837</v>
      </c>
      <c r="G1433">
        <v>-125.74079999999999</v>
      </c>
      <c r="H1433" t="s">
        <v>423</v>
      </c>
    </row>
    <row r="1434" spans="6:8" x14ac:dyDescent="0.3">
      <c r="F1434" t="s">
        <v>1838</v>
      </c>
      <c r="G1434">
        <v>73.878799999999998</v>
      </c>
      <c r="H1434" t="s">
        <v>423</v>
      </c>
    </row>
    <row r="1435" spans="6:8" x14ac:dyDescent="0.3">
      <c r="F1435" t="s">
        <v>1839</v>
      </c>
      <c r="G1435">
        <v>27.288799999999998</v>
      </c>
      <c r="H1435" t="s">
        <v>423</v>
      </c>
    </row>
    <row r="1436" spans="6:8" x14ac:dyDescent="0.3">
      <c r="F1436" t="s">
        <v>1840</v>
      </c>
      <c r="G1436">
        <v>64.4011</v>
      </c>
      <c r="H1436" t="s">
        <v>423</v>
      </c>
    </row>
    <row r="1437" spans="6:8" x14ac:dyDescent="0.3">
      <c r="F1437" t="s">
        <v>1841</v>
      </c>
      <c r="G1437">
        <v>8.9666999999999994</v>
      </c>
      <c r="H1437" t="s">
        <v>423</v>
      </c>
    </row>
    <row r="1438" spans="6:8" x14ac:dyDescent="0.3">
      <c r="F1438" t="s">
        <v>1842</v>
      </c>
      <c r="G1438">
        <v>52.92</v>
      </c>
      <c r="H1438" t="s">
        <v>423</v>
      </c>
    </row>
    <row r="1439" spans="6:8" x14ac:dyDescent="0.3">
      <c r="F1439" t="s">
        <v>1843</v>
      </c>
      <c r="G1439">
        <v>2.3584000000000001</v>
      </c>
      <c r="H1439" t="s">
        <v>423</v>
      </c>
    </row>
    <row r="1440" spans="6:8" x14ac:dyDescent="0.3">
      <c r="F1440" t="s">
        <v>1844</v>
      </c>
      <c r="G1440">
        <v>-78.077999999999975</v>
      </c>
      <c r="H1440" t="s">
        <v>423</v>
      </c>
    </row>
    <row r="1441" spans="6:8" x14ac:dyDescent="0.3">
      <c r="F1441" t="s">
        <v>1845</v>
      </c>
      <c r="G1441">
        <v>-4.1134000000000004</v>
      </c>
      <c r="H1441" t="s">
        <v>423</v>
      </c>
    </row>
    <row r="1442" spans="6:8" x14ac:dyDescent="0.3">
      <c r="F1442" t="s">
        <v>1846</v>
      </c>
      <c r="G1442">
        <v>132.8244</v>
      </c>
      <c r="H1442" t="s">
        <v>427</v>
      </c>
    </row>
    <row r="1443" spans="6:8" x14ac:dyDescent="0.3">
      <c r="F1443" t="s">
        <v>1847</v>
      </c>
      <c r="G1443">
        <v>71.11999999999999</v>
      </c>
      <c r="H1443" t="s">
        <v>423</v>
      </c>
    </row>
    <row r="1444" spans="6:8" x14ac:dyDescent="0.3">
      <c r="F1444" t="s">
        <v>1848</v>
      </c>
      <c r="G1444">
        <v>162.05119999999999</v>
      </c>
      <c r="H1444" t="s">
        <v>427</v>
      </c>
    </row>
    <row r="1445" spans="6:8" x14ac:dyDescent="0.3">
      <c r="F1445" t="s">
        <v>1849</v>
      </c>
      <c r="G1445">
        <v>94.768200000000007</v>
      </c>
      <c r="H1445" t="s">
        <v>423</v>
      </c>
    </row>
    <row r="1446" spans="6:8" x14ac:dyDescent="0.3">
      <c r="F1446" t="s">
        <v>1850</v>
      </c>
      <c r="G1446">
        <v>28.2576</v>
      </c>
      <c r="H1446" t="s">
        <v>423</v>
      </c>
    </row>
    <row r="1447" spans="6:8" x14ac:dyDescent="0.3">
      <c r="F1447" t="s">
        <v>1851</v>
      </c>
      <c r="G1447">
        <v>59.217599999999997</v>
      </c>
      <c r="H1447" t="s">
        <v>423</v>
      </c>
    </row>
    <row r="1448" spans="6:8" x14ac:dyDescent="0.3">
      <c r="F1448" t="s">
        <v>1852</v>
      </c>
      <c r="G1448">
        <v>1649.97</v>
      </c>
      <c r="H1448" t="s">
        <v>433</v>
      </c>
    </row>
    <row r="1449" spans="6:8" x14ac:dyDescent="0.3">
      <c r="F1449" t="s">
        <v>1853</v>
      </c>
      <c r="G1449">
        <v>2064.9587000000001</v>
      </c>
      <c r="H1449" t="s">
        <v>433</v>
      </c>
    </row>
    <row r="1450" spans="6:8" x14ac:dyDescent="0.3">
      <c r="F1450" t="s">
        <v>1854</v>
      </c>
      <c r="G1450">
        <v>-10.074</v>
      </c>
      <c r="H1450" t="s">
        <v>423</v>
      </c>
    </row>
    <row r="1451" spans="6:8" x14ac:dyDescent="0.3">
      <c r="F1451" t="s">
        <v>1855</v>
      </c>
      <c r="G1451">
        <v>422.47500000000002</v>
      </c>
      <c r="H1451" t="s">
        <v>427</v>
      </c>
    </row>
    <row r="1452" spans="6:8" x14ac:dyDescent="0.3">
      <c r="F1452" t="s">
        <v>1856</v>
      </c>
      <c r="G1452">
        <v>85.805999999999997</v>
      </c>
      <c r="H1452" t="s">
        <v>423</v>
      </c>
    </row>
    <row r="1453" spans="6:8" x14ac:dyDescent="0.3">
      <c r="F1453" t="s">
        <v>1857</v>
      </c>
      <c r="G1453">
        <v>234.23400000000001</v>
      </c>
      <c r="H1453" t="s">
        <v>427</v>
      </c>
    </row>
    <row r="1454" spans="6:8" x14ac:dyDescent="0.3">
      <c r="F1454" t="s">
        <v>1858</v>
      </c>
      <c r="G1454">
        <v>5.6980000000000004</v>
      </c>
      <c r="H1454" t="s">
        <v>423</v>
      </c>
    </row>
    <row r="1455" spans="6:8" x14ac:dyDescent="0.3">
      <c r="F1455" t="s">
        <v>1859</v>
      </c>
      <c r="G1455">
        <v>10.0656</v>
      </c>
      <c r="H1455" t="s">
        <v>423</v>
      </c>
    </row>
    <row r="1456" spans="6:8" x14ac:dyDescent="0.3">
      <c r="F1456" t="s">
        <v>1860</v>
      </c>
      <c r="G1456">
        <v>1106.6615999999999</v>
      </c>
      <c r="H1456" t="s">
        <v>433</v>
      </c>
    </row>
    <row r="1457" spans="6:8" x14ac:dyDescent="0.3">
      <c r="F1457" t="s">
        <v>1861</v>
      </c>
      <c r="G1457">
        <v>32.25</v>
      </c>
      <c r="H1457" t="s">
        <v>423</v>
      </c>
    </row>
    <row r="1458" spans="6:8" x14ac:dyDescent="0.3">
      <c r="F1458" t="s">
        <v>1862</v>
      </c>
      <c r="G1458">
        <v>22.4224</v>
      </c>
      <c r="H1458" t="s">
        <v>423</v>
      </c>
    </row>
    <row r="1459" spans="6:8" x14ac:dyDescent="0.3">
      <c r="F1459" t="s">
        <v>1863</v>
      </c>
      <c r="G1459">
        <v>453.76240000000013</v>
      </c>
      <c r="H1459" t="s">
        <v>427</v>
      </c>
    </row>
    <row r="1460" spans="6:8" x14ac:dyDescent="0.3">
      <c r="F1460" t="s">
        <v>1864</v>
      </c>
      <c r="G1460">
        <v>31.4712</v>
      </c>
      <c r="H1460" t="s">
        <v>423</v>
      </c>
    </row>
    <row r="1461" spans="6:8" x14ac:dyDescent="0.3">
      <c r="F1461" t="s">
        <v>1865</v>
      </c>
      <c r="G1461">
        <v>177.19800000000001</v>
      </c>
      <c r="H1461" t="s">
        <v>427</v>
      </c>
    </row>
    <row r="1462" spans="6:8" x14ac:dyDescent="0.3">
      <c r="F1462" t="s">
        <v>1866</v>
      </c>
      <c r="G1462">
        <v>5.1559999999999988</v>
      </c>
      <c r="H1462" t="s">
        <v>423</v>
      </c>
    </row>
    <row r="1463" spans="6:8" x14ac:dyDescent="0.3">
      <c r="F1463" t="s">
        <v>1867</v>
      </c>
      <c r="G1463">
        <v>52.793999999999997</v>
      </c>
      <c r="H1463" t="s">
        <v>423</v>
      </c>
    </row>
    <row r="1464" spans="6:8" x14ac:dyDescent="0.3">
      <c r="F1464" t="s">
        <v>1868</v>
      </c>
      <c r="G1464">
        <v>132.08330000000001</v>
      </c>
      <c r="H1464" t="s">
        <v>427</v>
      </c>
    </row>
    <row r="1465" spans="6:8" x14ac:dyDescent="0.3">
      <c r="F1465" t="s">
        <v>1869</v>
      </c>
      <c r="G1465">
        <v>0.33989999999999998</v>
      </c>
      <c r="H1465" t="s">
        <v>423</v>
      </c>
    </row>
    <row r="1466" spans="6:8" x14ac:dyDescent="0.3">
      <c r="F1466" t="s">
        <v>1870</v>
      </c>
      <c r="G1466">
        <v>255.31440000000001</v>
      </c>
      <c r="H1466" t="s">
        <v>427</v>
      </c>
    </row>
    <row r="1467" spans="6:8" x14ac:dyDescent="0.3">
      <c r="F1467" t="s">
        <v>1871</v>
      </c>
      <c r="G1467">
        <v>35.128799999999998</v>
      </c>
      <c r="H1467" t="s">
        <v>423</v>
      </c>
    </row>
    <row r="1468" spans="6:8" x14ac:dyDescent="0.3">
      <c r="F1468" t="s">
        <v>1872</v>
      </c>
      <c r="G1468">
        <v>57.327800000000003</v>
      </c>
      <c r="H1468" t="s">
        <v>423</v>
      </c>
    </row>
    <row r="1469" spans="6:8" x14ac:dyDescent="0.3">
      <c r="F1469" t="s">
        <v>1873</v>
      </c>
      <c r="G1469">
        <v>118.9284</v>
      </c>
      <c r="H1469" t="s">
        <v>427</v>
      </c>
    </row>
    <row r="1470" spans="6:8" x14ac:dyDescent="0.3">
      <c r="F1470" t="s">
        <v>1874</v>
      </c>
      <c r="G1470">
        <v>65.435999999999993</v>
      </c>
      <c r="H1470" t="s">
        <v>423</v>
      </c>
    </row>
    <row r="1471" spans="6:8" x14ac:dyDescent="0.3">
      <c r="F1471" t="s">
        <v>1875</v>
      </c>
      <c r="G1471">
        <v>113.199</v>
      </c>
      <c r="H1471" t="s">
        <v>427</v>
      </c>
    </row>
    <row r="1472" spans="6:8" x14ac:dyDescent="0.3">
      <c r="F1472" t="s">
        <v>1876</v>
      </c>
      <c r="G1472">
        <v>80.897999999999996</v>
      </c>
      <c r="H1472" t="s">
        <v>423</v>
      </c>
    </row>
    <row r="1473" spans="6:8" x14ac:dyDescent="0.3">
      <c r="F1473" t="s">
        <v>1877</v>
      </c>
      <c r="G1473">
        <v>13.210800000000001</v>
      </c>
      <c r="H1473" t="s">
        <v>423</v>
      </c>
    </row>
    <row r="1474" spans="6:8" x14ac:dyDescent="0.3">
      <c r="F1474" t="s">
        <v>1878</v>
      </c>
      <c r="G1474">
        <v>67.043999999999997</v>
      </c>
      <c r="H1474" t="s">
        <v>423</v>
      </c>
    </row>
    <row r="1475" spans="6:8" x14ac:dyDescent="0.3">
      <c r="F1475" t="s">
        <v>1879</v>
      </c>
      <c r="G1475">
        <v>236.56319999999999</v>
      </c>
      <c r="H1475" t="s">
        <v>427</v>
      </c>
    </row>
    <row r="1476" spans="6:8" x14ac:dyDescent="0.3">
      <c r="F1476" t="s">
        <v>1880</v>
      </c>
      <c r="G1476">
        <v>30.738</v>
      </c>
      <c r="H1476" t="s">
        <v>423</v>
      </c>
    </row>
    <row r="1477" spans="6:8" x14ac:dyDescent="0.3">
      <c r="F1477" t="s">
        <v>1881</v>
      </c>
      <c r="G1477">
        <v>36.4</v>
      </c>
      <c r="H1477" t="s">
        <v>423</v>
      </c>
    </row>
    <row r="1478" spans="6:8" x14ac:dyDescent="0.3">
      <c r="F1478" t="s">
        <v>1882</v>
      </c>
      <c r="G1478">
        <v>-74.347499999999968</v>
      </c>
      <c r="H1478" t="s">
        <v>423</v>
      </c>
    </row>
    <row r="1479" spans="6:8" x14ac:dyDescent="0.3">
      <c r="F1479" t="s">
        <v>1883</v>
      </c>
      <c r="G1479">
        <v>24.143699999999999</v>
      </c>
      <c r="H1479" t="s">
        <v>423</v>
      </c>
    </row>
    <row r="1480" spans="6:8" x14ac:dyDescent="0.3">
      <c r="F1480" t="s">
        <v>1884</v>
      </c>
      <c r="G1480">
        <v>-20.488</v>
      </c>
      <c r="H1480" t="s">
        <v>423</v>
      </c>
    </row>
    <row r="1481" spans="6:8" x14ac:dyDescent="0.3">
      <c r="F1481" t="s">
        <v>1885</v>
      </c>
      <c r="G1481">
        <v>-18.194800000000001</v>
      </c>
      <c r="H1481" t="s">
        <v>423</v>
      </c>
    </row>
    <row r="1482" spans="6:8" x14ac:dyDescent="0.3">
      <c r="F1482" t="s">
        <v>1886</v>
      </c>
      <c r="G1482">
        <v>77.634299999999996</v>
      </c>
      <c r="H1482" t="s">
        <v>423</v>
      </c>
    </row>
    <row r="1483" spans="6:8" x14ac:dyDescent="0.3">
      <c r="F1483" t="s">
        <v>1887</v>
      </c>
      <c r="G1483">
        <v>45.872999999999998</v>
      </c>
      <c r="H1483" t="s">
        <v>423</v>
      </c>
    </row>
    <row r="1484" spans="6:8" x14ac:dyDescent="0.3">
      <c r="F1484" t="s">
        <v>1888</v>
      </c>
      <c r="G1484">
        <v>6.0323999999999991</v>
      </c>
      <c r="H1484" t="s">
        <v>423</v>
      </c>
    </row>
    <row r="1485" spans="6:8" x14ac:dyDescent="0.3">
      <c r="F1485" t="s">
        <v>1889</v>
      </c>
      <c r="G1485">
        <v>25.76</v>
      </c>
      <c r="H1485" t="s">
        <v>423</v>
      </c>
    </row>
    <row r="1486" spans="6:8" x14ac:dyDescent="0.3">
      <c r="F1486" t="s">
        <v>1890</v>
      </c>
      <c r="G1486">
        <v>11.188800000000001</v>
      </c>
      <c r="H1486" t="s">
        <v>423</v>
      </c>
    </row>
    <row r="1487" spans="6:8" x14ac:dyDescent="0.3">
      <c r="F1487" t="s">
        <v>1891</v>
      </c>
      <c r="G1487">
        <v>54.845100000000002</v>
      </c>
      <c r="H1487" t="s">
        <v>423</v>
      </c>
    </row>
    <row r="1488" spans="6:8" x14ac:dyDescent="0.3">
      <c r="F1488" t="s">
        <v>1892</v>
      </c>
      <c r="G1488">
        <v>98.246399999999994</v>
      </c>
      <c r="H1488" t="s">
        <v>423</v>
      </c>
    </row>
    <row r="1489" spans="6:8" x14ac:dyDescent="0.3">
      <c r="F1489" t="s">
        <v>1893</v>
      </c>
      <c r="G1489">
        <v>17.1248</v>
      </c>
      <c r="H1489" t="s">
        <v>423</v>
      </c>
    </row>
    <row r="1490" spans="6:8" x14ac:dyDescent="0.3">
      <c r="F1490" t="s">
        <v>1894</v>
      </c>
      <c r="G1490">
        <v>-2.8672</v>
      </c>
      <c r="H1490" t="s">
        <v>423</v>
      </c>
    </row>
    <row r="1491" spans="6:8" x14ac:dyDescent="0.3">
      <c r="F1491" t="s">
        <v>1895</v>
      </c>
      <c r="G1491">
        <v>9.3125999999999998</v>
      </c>
      <c r="H1491" t="s">
        <v>423</v>
      </c>
    </row>
    <row r="1492" spans="6:8" x14ac:dyDescent="0.3">
      <c r="F1492" t="s">
        <v>1896</v>
      </c>
      <c r="G1492">
        <v>80.446799999999996</v>
      </c>
      <c r="H1492" t="s">
        <v>423</v>
      </c>
    </row>
    <row r="1493" spans="6:8" x14ac:dyDescent="0.3">
      <c r="F1493" t="s">
        <v>1897</v>
      </c>
      <c r="G1493">
        <v>1261.33</v>
      </c>
      <c r="H1493" t="s">
        <v>433</v>
      </c>
    </row>
    <row r="1494" spans="6:8" x14ac:dyDescent="0.3">
      <c r="F1494" t="s">
        <v>1898</v>
      </c>
      <c r="G1494">
        <v>42.7896</v>
      </c>
      <c r="H1494" t="s">
        <v>423</v>
      </c>
    </row>
    <row r="1495" spans="6:8" x14ac:dyDescent="0.3">
      <c r="F1495" t="s">
        <v>1899</v>
      </c>
      <c r="G1495">
        <v>63.012</v>
      </c>
      <c r="H1495" t="s">
        <v>423</v>
      </c>
    </row>
    <row r="1496" spans="6:8" x14ac:dyDescent="0.3">
      <c r="F1496" t="s">
        <v>1900</v>
      </c>
      <c r="G1496">
        <v>751.62899999999991</v>
      </c>
      <c r="H1496" t="s">
        <v>433</v>
      </c>
    </row>
    <row r="1497" spans="6:8" x14ac:dyDescent="0.3">
      <c r="F1497" t="s">
        <v>1901</v>
      </c>
      <c r="G1497">
        <v>118.0017</v>
      </c>
      <c r="H1497" t="s">
        <v>427</v>
      </c>
    </row>
    <row r="1498" spans="6:8" x14ac:dyDescent="0.3">
      <c r="F1498" t="s">
        <v>1902</v>
      </c>
      <c r="G1498">
        <v>44.809199999999997</v>
      </c>
      <c r="H1498" t="s">
        <v>423</v>
      </c>
    </row>
    <row r="1499" spans="6:8" x14ac:dyDescent="0.3">
      <c r="F1499" t="s">
        <v>1903</v>
      </c>
      <c r="G1499">
        <v>24.067799999999998</v>
      </c>
      <c r="H1499" t="s">
        <v>423</v>
      </c>
    </row>
    <row r="1500" spans="6:8" x14ac:dyDescent="0.3">
      <c r="F1500" t="s">
        <v>1904</v>
      </c>
      <c r="G1500">
        <v>121.9936</v>
      </c>
      <c r="H1500" t="s">
        <v>427</v>
      </c>
    </row>
    <row r="1501" spans="6:8" x14ac:dyDescent="0.3">
      <c r="F1501" t="s">
        <v>1905</v>
      </c>
      <c r="G1501">
        <v>21.5883</v>
      </c>
      <c r="H1501" t="s">
        <v>423</v>
      </c>
    </row>
    <row r="1502" spans="6:8" x14ac:dyDescent="0.3">
      <c r="F1502" t="s">
        <v>1906</v>
      </c>
      <c r="G1502">
        <v>292.20459999999991</v>
      </c>
      <c r="H1502" t="s">
        <v>427</v>
      </c>
    </row>
    <row r="1503" spans="6:8" x14ac:dyDescent="0.3">
      <c r="F1503" t="s">
        <v>1907</v>
      </c>
      <c r="G1503">
        <v>124.05159999999999</v>
      </c>
      <c r="H1503" t="s">
        <v>427</v>
      </c>
    </row>
    <row r="1504" spans="6:8" x14ac:dyDescent="0.3">
      <c r="F1504" t="s">
        <v>1908</v>
      </c>
      <c r="G1504">
        <v>269.30799999999999</v>
      </c>
      <c r="H1504" t="s">
        <v>427</v>
      </c>
    </row>
    <row r="1505" spans="6:8" x14ac:dyDescent="0.3">
      <c r="F1505" t="s">
        <v>1909</v>
      </c>
      <c r="G1505">
        <v>360.31799999999998</v>
      </c>
      <c r="H1505" t="s">
        <v>427</v>
      </c>
    </row>
    <row r="1506" spans="6:8" x14ac:dyDescent="0.3">
      <c r="F1506" t="s">
        <v>1910</v>
      </c>
      <c r="G1506">
        <v>-785.76200000000006</v>
      </c>
      <c r="H1506" t="s">
        <v>423</v>
      </c>
    </row>
    <row r="1507" spans="6:8" x14ac:dyDescent="0.3">
      <c r="F1507" t="s">
        <v>1911</v>
      </c>
      <c r="G1507">
        <v>185.71729999999999</v>
      </c>
      <c r="H1507" t="s">
        <v>427</v>
      </c>
    </row>
    <row r="1508" spans="6:8" x14ac:dyDescent="0.3">
      <c r="F1508" t="s">
        <v>1912</v>
      </c>
      <c r="G1508">
        <v>78.075999999999993</v>
      </c>
      <c r="H1508" t="s">
        <v>423</v>
      </c>
    </row>
    <row r="1509" spans="6:8" x14ac:dyDescent="0.3">
      <c r="F1509" t="s">
        <v>1913</v>
      </c>
      <c r="G1509">
        <v>-6.3360000000000003</v>
      </c>
      <c r="H1509" t="s">
        <v>423</v>
      </c>
    </row>
    <row r="1510" spans="6:8" x14ac:dyDescent="0.3">
      <c r="F1510" t="s">
        <v>1914</v>
      </c>
      <c r="G1510">
        <v>-3.7679999999999998</v>
      </c>
      <c r="H1510" t="s">
        <v>423</v>
      </c>
    </row>
    <row r="1511" spans="6:8" x14ac:dyDescent="0.3">
      <c r="F1511" t="s">
        <v>1915</v>
      </c>
      <c r="G1511">
        <v>-21.984000000000002</v>
      </c>
      <c r="H1511" t="s">
        <v>423</v>
      </c>
    </row>
    <row r="1512" spans="6:8" x14ac:dyDescent="0.3">
      <c r="F1512" t="s">
        <v>1916</v>
      </c>
      <c r="G1512">
        <v>3.4039999999999999</v>
      </c>
      <c r="H1512" t="s">
        <v>423</v>
      </c>
    </row>
    <row r="1513" spans="6:8" x14ac:dyDescent="0.3">
      <c r="F1513" t="s">
        <v>1917</v>
      </c>
      <c r="G1513">
        <v>20.099599999999999</v>
      </c>
      <c r="H1513" t="s">
        <v>423</v>
      </c>
    </row>
    <row r="1514" spans="6:8" x14ac:dyDescent="0.3">
      <c r="F1514" t="s">
        <v>1918</v>
      </c>
      <c r="G1514">
        <v>50.549399999999991</v>
      </c>
      <c r="H1514" t="s">
        <v>423</v>
      </c>
    </row>
    <row r="1515" spans="6:8" x14ac:dyDescent="0.3">
      <c r="F1515" t="s">
        <v>1919</v>
      </c>
      <c r="G1515">
        <v>11.448</v>
      </c>
      <c r="H1515" t="s">
        <v>423</v>
      </c>
    </row>
    <row r="1516" spans="6:8" x14ac:dyDescent="0.3">
      <c r="F1516" t="s">
        <v>1920</v>
      </c>
      <c r="G1516">
        <v>-2.0064000000000002</v>
      </c>
      <c r="H1516" t="s">
        <v>423</v>
      </c>
    </row>
    <row r="1517" spans="6:8" x14ac:dyDescent="0.3">
      <c r="F1517" t="s">
        <v>1921</v>
      </c>
      <c r="G1517">
        <v>309.9348</v>
      </c>
      <c r="H1517" t="s">
        <v>427</v>
      </c>
    </row>
    <row r="1518" spans="6:8" x14ac:dyDescent="0.3">
      <c r="F1518" t="s">
        <v>1922</v>
      </c>
      <c r="G1518">
        <v>53.801600000000001</v>
      </c>
      <c r="H1518" t="s">
        <v>423</v>
      </c>
    </row>
    <row r="1519" spans="6:8" x14ac:dyDescent="0.3">
      <c r="F1519" t="s">
        <v>1923</v>
      </c>
      <c r="G1519">
        <v>106.3104</v>
      </c>
      <c r="H1519" t="s">
        <v>427</v>
      </c>
    </row>
    <row r="1520" spans="6:8" x14ac:dyDescent="0.3">
      <c r="F1520" t="s">
        <v>1924</v>
      </c>
      <c r="G1520">
        <v>6.4584000000000001</v>
      </c>
      <c r="H1520" t="s">
        <v>423</v>
      </c>
    </row>
    <row r="1521" spans="6:8" x14ac:dyDescent="0.3">
      <c r="F1521" t="s">
        <v>1925</v>
      </c>
      <c r="G1521">
        <v>51.050800000000002</v>
      </c>
      <c r="H1521" t="s">
        <v>423</v>
      </c>
    </row>
    <row r="1522" spans="6:8" x14ac:dyDescent="0.3">
      <c r="F1522" t="s">
        <v>1926</v>
      </c>
      <c r="G1522">
        <v>-2.6040000000000001</v>
      </c>
      <c r="H1522" t="s">
        <v>423</v>
      </c>
    </row>
    <row r="1523" spans="6:8" x14ac:dyDescent="0.3">
      <c r="F1523" t="s">
        <v>1927</v>
      </c>
      <c r="G1523">
        <v>39.547199999999997</v>
      </c>
      <c r="H1523" t="s">
        <v>423</v>
      </c>
    </row>
    <row r="1524" spans="6:8" x14ac:dyDescent="0.3">
      <c r="F1524" t="s">
        <v>1928</v>
      </c>
      <c r="G1524">
        <v>210.864</v>
      </c>
      <c r="H1524" t="s">
        <v>427</v>
      </c>
    </row>
    <row r="1525" spans="6:8" x14ac:dyDescent="0.3">
      <c r="F1525" t="s">
        <v>1929</v>
      </c>
      <c r="G1525">
        <v>-447.98880000000003</v>
      </c>
      <c r="H1525" t="s">
        <v>423</v>
      </c>
    </row>
    <row r="1526" spans="6:8" x14ac:dyDescent="0.3">
      <c r="F1526" t="s">
        <v>1930</v>
      </c>
      <c r="G1526">
        <v>31.629200000000001</v>
      </c>
      <c r="H1526" t="s">
        <v>423</v>
      </c>
    </row>
    <row r="1527" spans="6:8" x14ac:dyDescent="0.3">
      <c r="F1527" t="s">
        <v>1931</v>
      </c>
      <c r="G1527">
        <v>37.105900000000013</v>
      </c>
      <c r="H1527" t="s">
        <v>423</v>
      </c>
    </row>
    <row r="1528" spans="6:8" x14ac:dyDescent="0.3">
      <c r="F1528" t="s">
        <v>1932</v>
      </c>
      <c r="G1528">
        <v>178.70400000000001</v>
      </c>
      <c r="H1528" t="s">
        <v>427</v>
      </c>
    </row>
    <row r="1529" spans="6:8" x14ac:dyDescent="0.3">
      <c r="F1529" t="s">
        <v>1933</v>
      </c>
      <c r="G1529">
        <v>39.649500000000003</v>
      </c>
      <c r="H1529" t="s">
        <v>423</v>
      </c>
    </row>
    <row r="1530" spans="6:8" x14ac:dyDescent="0.3">
      <c r="F1530" t="s">
        <v>1934</v>
      </c>
      <c r="G1530">
        <v>20.372800000000002</v>
      </c>
      <c r="H1530" t="s">
        <v>423</v>
      </c>
    </row>
    <row r="1531" spans="6:8" x14ac:dyDescent="0.3">
      <c r="F1531" t="s">
        <v>1935</v>
      </c>
      <c r="G1531">
        <v>212.298</v>
      </c>
      <c r="H1531" t="s">
        <v>427</v>
      </c>
    </row>
    <row r="1532" spans="6:8" x14ac:dyDescent="0.3">
      <c r="F1532" t="s">
        <v>1936</v>
      </c>
      <c r="G1532">
        <v>21.96</v>
      </c>
      <c r="H1532" t="s">
        <v>423</v>
      </c>
    </row>
    <row r="1533" spans="6:8" x14ac:dyDescent="0.3">
      <c r="F1533" t="s">
        <v>1937</v>
      </c>
      <c r="G1533">
        <v>40.767000000000003</v>
      </c>
      <c r="H1533" t="s">
        <v>423</v>
      </c>
    </row>
    <row r="1534" spans="6:8" x14ac:dyDescent="0.3">
      <c r="F1534" t="s">
        <v>1938</v>
      </c>
      <c r="G1534">
        <v>-5.9970000000000017</v>
      </c>
      <c r="H1534" t="s">
        <v>423</v>
      </c>
    </row>
    <row r="1535" spans="6:8" x14ac:dyDescent="0.3">
      <c r="F1535" t="s">
        <v>1939</v>
      </c>
      <c r="G1535">
        <v>-40.576799999999977</v>
      </c>
      <c r="H1535" t="s">
        <v>423</v>
      </c>
    </row>
    <row r="1536" spans="6:8" x14ac:dyDescent="0.3">
      <c r="F1536" t="s">
        <v>1940</v>
      </c>
      <c r="G1536">
        <v>148.37200000000001</v>
      </c>
      <c r="H1536" t="s">
        <v>427</v>
      </c>
    </row>
    <row r="1537" spans="6:8" x14ac:dyDescent="0.3">
      <c r="F1537" t="s">
        <v>1941</v>
      </c>
      <c r="G1537">
        <v>-530.0379999999999</v>
      </c>
      <c r="H1537" t="s">
        <v>423</v>
      </c>
    </row>
    <row r="1538" spans="6:8" x14ac:dyDescent="0.3">
      <c r="F1538" t="s">
        <v>1942</v>
      </c>
      <c r="G1538">
        <v>124.6058</v>
      </c>
      <c r="H1538" t="s">
        <v>427</v>
      </c>
    </row>
    <row r="1539" spans="6:8" x14ac:dyDescent="0.3">
      <c r="F1539" t="s">
        <v>1943</v>
      </c>
      <c r="G1539">
        <v>-222.73650000000001</v>
      </c>
      <c r="H1539" t="s">
        <v>423</v>
      </c>
    </row>
    <row r="1540" spans="6:8" x14ac:dyDescent="0.3">
      <c r="F1540" t="s">
        <v>1944</v>
      </c>
      <c r="G1540">
        <v>-529.76</v>
      </c>
      <c r="H1540" t="s">
        <v>423</v>
      </c>
    </row>
    <row r="1541" spans="6:8" x14ac:dyDescent="0.3">
      <c r="F1541" t="s">
        <v>1945</v>
      </c>
      <c r="G1541">
        <v>8.7889999999999997</v>
      </c>
      <c r="H1541" t="s">
        <v>423</v>
      </c>
    </row>
    <row r="1542" spans="6:8" x14ac:dyDescent="0.3">
      <c r="F1542" t="s">
        <v>1946</v>
      </c>
      <c r="G1542">
        <v>-129.91999999999999</v>
      </c>
      <c r="H1542" t="s">
        <v>423</v>
      </c>
    </row>
    <row r="1543" spans="6:8" x14ac:dyDescent="0.3">
      <c r="F1543" t="s">
        <v>1947</v>
      </c>
      <c r="G1543">
        <v>150.542</v>
      </c>
      <c r="H1543" t="s">
        <v>427</v>
      </c>
    </row>
    <row r="1544" spans="6:8" x14ac:dyDescent="0.3">
      <c r="F1544" t="s">
        <v>1948</v>
      </c>
      <c r="G1544">
        <v>62.660400000000003</v>
      </c>
      <c r="H1544" t="s">
        <v>423</v>
      </c>
    </row>
    <row r="1545" spans="6:8" x14ac:dyDescent="0.3">
      <c r="F1545" t="s">
        <v>1949</v>
      </c>
      <c r="G1545">
        <v>23.265000000000001</v>
      </c>
      <c r="H1545" t="s">
        <v>423</v>
      </c>
    </row>
    <row r="1546" spans="6:8" x14ac:dyDescent="0.3">
      <c r="F1546" t="s">
        <v>1950</v>
      </c>
      <c r="G1546">
        <v>118.624</v>
      </c>
      <c r="H1546" t="s">
        <v>427</v>
      </c>
    </row>
    <row r="1547" spans="6:8" x14ac:dyDescent="0.3">
      <c r="F1547" t="s">
        <v>1951</v>
      </c>
      <c r="G1547">
        <v>44.811500000000002</v>
      </c>
      <c r="H1547" t="s">
        <v>423</v>
      </c>
    </row>
    <row r="1548" spans="6:8" x14ac:dyDescent="0.3">
      <c r="F1548" t="s">
        <v>1952</v>
      </c>
      <c r="G1548">
        <v>-46.404000000000003</v>
      </c>
      <c r="H1548" t="s">
        <v>423</v>
      </c>
    </row>
    <row r="1549" spans="6:8" x14ac:dyDescent="0.3">
      <c r="F1549" t="s">
        <v>1953</v>
      </c>
      <c r="G1549">
        <v>172.24600000000001</v>
      </c>
      <c r="H1549" t="s">
        <v>427</v>
      </c>
    </row>
    <row r="1550" spans="6:8" x14ac:dyDescent="0.3">
      <c r="F1550" t="s">
        <v>1954</v>
      </c>
      <c r="G1550">
        <v>51.105600000000003</v>
      </c>
      <c r="H1550" t="s">
        <v>423</v>
      </c>
    </row>
    <row r="1551" spans="6:8" x14ac:dyDescent="0.3">
      <c r="F1551" t="s">
        <v>1955</v>
      </c>
      <c r="G1551">
        <v>1114.3707999999999</v>
      </c>
      <c r="H1551" t="s">
        <v>433</v>
      </c>
    </row>
    <row r="1552" spans="6:8" x14ac:dyDescent="0.3">
      <c r="F1552" t="s">
        <v>1956</v>
      </c>
      <c r="G1552">
        <v>1575.1098</v>
      </c>
      <c r="H1552" t="s">
        <v>433</v>
      </c>
    </row>
    <row r="1553" spans="6:8" x14ac:dyDescent="0.3">
      <c r="F1553" t="s">
        <v>1957</v>
      </c>
      <c r="G1553">
        <v>-48.6126</v>
      </c>
      <c r="H1553" t="s">
        <v>423</v>
      </c>
    </row>
    <row r="1554" spans="6:8" x14ac:dyDescent="0.3">
      <c r="F1554" t="s">
        <v>1958</v>
      </c>
      <c r="G1554">
        <v>429.78820000000002</v>
      </c>
      <c r="H1554" t="s">
        <v>427</v>
      </c>
    </row>
    <row r="1555" spans="6:8" x14ac:dyDescent="0.3">
      <c r="F1555" t="s">
        <v>1959</v>
      </c>
      <c r="G1555">
        <v>-108.5802</v>
      </c>
      <c r="H1555" t="s">
        <v>423</v>
      </c>
    </row>
    <row r="1556" spans="6:8" x14ac:dyDescent="0.3">
      <c r="F1556" t="s">
        <v>1960</v>
      </c>
      <c r="G1556">
        <v>-26.434799999999999</v>
      </c>
      <c r="H1556" t="s">
        <v>423</v>
      </c>
    </row>
    <row r="1557" spans="6:8" x14ac:dyDescent="0.3">
      <c r="F1557" t="s">
        <v>1961</v>
      </c>
      <c r="G1557">
        <v>56.226399999999998</v>
      </c>
      <c r="H1557" t="s">
        <v>423</v>
      </c>
    </row>
    <row r="1558" spans="6:8" x14ac:dyDescent="0.3">
      <c r="F1558" t="s">
        <v>1962</v>
      </c>
      <c r="G1558">
        <v>-6.0845999999999947</v>
      </c>
      <c r="H1558" t="s">
        <v>423</v>
      </c>
    </row>
    <row r="1559" spans="6:8" x14ac:dyDescent="0.3">
      <c r="F1559" t="s">
        <v>1963</v>
      </c>
      <c r="G1559">
        <v>-825.74799999999993</v>
      </c>
      <c r="H1559" t="s">
        <v>423</v>
      </c>
    </row>
    <row r="1560" spans="6:8" x14ac:dyDescent="0.3">
      <c r="F1560" t="s">
        <v>1964</v>
      </c>
      <c r="G1560">
        <v>181.66200000000001</v>
      </c>
      <c r="H1560" t="s">
        <v>427</v>
      </c>
    </row>
    <row r="1561" spans="6:8" x14ac:dyDescent="0.3">
      <c r="F1561" t="s">
        <v>1965</v>
      </c>
      <c r="G1561">
        <v>-36.533700000000003</v>
      </c>
      <c r="H1561" t="s">
        <v>423</v>
      </c>
    </row>
    <row r="1562" spans="6:8" x14ac:dyDescent="0.3">
      <c r="F1562" t="s">
        <v>1966</v>
      </c>
      <c r="G1562">
        <v>2.0783999999999998</v>
      </c>
      <c r="H1562" t="s">
        <v>423</v>
      </c>
    </row>
    <row r="1563" spans="6:8" x14ac:dyDescent="0.3">
      <c r="F1563" t="s">
        <v>1967</v>
      </c>
      <c r="G1563">
        <v>6.7959999999999994</v>
      </c>
      <c r="H1563" t="s">
        <v>423</v>
      </c>
    </row>
    <row r="1564" spans="6:8" x14ac:dyDescent="0.3">
      <c r="F1564" t="s">
        <v>1968</v>
      </c>
      <c r="G1564">
        <v>144.73079999999999</v>
      </c>
      <c r="H1564" t="s">
        <v>427</v>
      </c>
    </row>
    <row r="1565" spans="6:8" x14ac:dyDescent="0.3">
      <c r="F1565" t="s">
        <v>1969</v>
      </c>
      <c r="G1565">
        <v>38.180899999999987</v>
      </c>
      <c r="H1565" t="s">
        <v>423</v>
      </c>
    </row>
    <row r="1566" spans="6:8" x14ac:dyDescent="0.3">
      <c r="F1566" t="s">
        <v>1970</v>
      </c>
      <c r="G1566">
        <v>-20.518999999999998</v>
      </c>
      <c r="H1566" t="s">
        <v>423</v>
      </c>
    </row>
    <row r="1567" spans="6:8" x14ac:dyDescent="0.3">
      <c r="F1567" t="s">
        <v>1971</v>
      </c>
      <c r="G1567">
        <v>64.650599999999997</v>
      </c>
      <c r="H1567" t="s">
        <v>423</v>
      </c>
    </row>
    <row r="1568" spans="6:8" x14ac:dyDescent="0.3">
      <c r="F1568" t="s">
        <v>1972</v>
      </c>
      <c r="G1568">
        <v>59.169599999999988</v>
      </c>
      <c r="H1568" t="s">
        <v>423</v>
      </c>
    </row>
    <row r="1569" spans="6:8" x14ac:dyDescent="0.3">
      <c r="F1569" t="s">
        <v>1973</v>
      </c>
      <c r="G1569">
        <v>29.8584</v>
      </c>
      <c r="H1569" t="s">
        <v>423</v>
      </c>
    </row>
    <row r="1570" spans="6:8" x14ac:dyDescent="0.3">
      <c r="F1570" t="s">
        <v>1974</v>
      </c>
      <c r="G1570">
        <v>171.29</v>
      </c>
      <c r="H1570" t="s">
        <v>427</v>
      </c>
    </row>
    <row r="1571" spans="6:8" x14ac:dyDescent="0.3">
      <c r="F1571" t="s">
        <v>1975</v>
      </c>
      <c r="G1571">
        <v>321.82780000000002</v>
      </c>
      <c r="H1571" t="s">
        <v>427</v>
      </c>
    </row>
    <row r="1572" spans="6:8" x14ac:dyDescent="0.3">
      <c r="F1572" t="s">
        <v>1976</v>
      </c>
      <c r="G1572">
        <v>29.280999999999999</v>
      </c>
      <c r="H1572" t="s">
        <v>423</v>
      </c>
    </row>
    <row r="1573" spans="6:8" x14ac:dyDescent="0.3">
      <c r="F1573" t="s">
        <v>1977</v>
      </c>
      <c r="G1573">
        <v>425.30939999999998</v>
      </c>
      <c r="H1573" t="s">
        <v>427</v>
      </c>
    </row>
    <row r="1574" spans="6:8" x14ac:dyDescent="0.3">
      <c r="F1574" t="s">
        <v>1978</v>
      </c>
      <c r="G1574">
        <v>5.8410000000000002</v>
      </c>
      <c r="H1574" t="s">
        <v>423</v>
      </c>
    </row>
    <row r="1575" spans="6:8" x14ac:dyDescent="0.3">
      <c r="F1575" t="s">
        <v>1979</v>
      </c>
      <c r="G1575">
        <v>278.84800000000001</v>
      </c>
      <c r="H1575" t="s">
        <v>427</v>
      </c>
    </row>
    <row r="1576" spans="6:8" x14ac:dyDescent="0.3">
      <c r="F1576" t="s">
        <v>1980</v>
      </c>
      <c r="G1576">
        <v>112.88639999999999</v>
      </c>
      <c r="H1576" t="s">
        <v>427</v>
      </c>
    </row>
    <row r="1577" spans="6:8" x14ac:dyDescent="0.3">
      <c r="F1577" t="s">
        <v>1981</v>
      </c>
      <c r="G1577">
        <v>74.993100000000013</v>
      </c>
      <c r="H1577" t="s">
        <v>423</v>
      </c>
    </row>
    <row r="1578" spans="6:8" x14ac:dyDescent="0.3">
      <c r="F1578" t="s">
        <v>1982</v>
      </c>
      <c r="G1578">
        <v>-17.032800000000009</v>
      </c>
      <c r="H1578" t="s">
        <v>423</v>
      </c>
    </row>
    <row r="1579" spans="6:8" x14ac:dyDescent="0.3">
      <c r="F1579" t="s">
        <v>1983</v>
      </c>
      <c r="G1579">
        <v>130.48320000000001</v>
      </c>
      <c r="H1579" t="s">
        <v>427</v>
      </c>
    </row>
    <row r="1580" spans="6:8" x14ac:dyDescent="0.3">
      <c r="F1580" t="s">
        <v>1984</v>
      </c>
      <c r="G1580">
        <v>234.3236</v>
      </c>
      <c r="H1580" t="s">
        <v>427</v>
      </c>
    </row>
    <row r="1581" spans="6:8" x14ac:dyDescent="0.3">
      <c r="F1581" t="s">
        <v>1985</v>
      </c>
      <c r="G1581">
        <v>23.955400000000001</v>
      </c>
      <c r="H1581" t="s">
        <v>423</v>
      </c>
    </row>
    <row r="1582" spans="6:8" x14ac:dyDescent="0.3">
      <c r="F1582" t="s">
        <v>1986</v>
      </c>
      <c r="G1582">
        <v>10.586</v>
      </c>
      <c r="H1582" t="s">
        <v>423</v>
      </c>
    </row>
    <row r="1583" spans="6:8" x14ac:dyDescent="0.3">
      <c r="F1583" t="s">
        <v>1987</v>
      </c>
      <c r="G1583">
        <v>274.94099999999997</v>
      </c>
      <c r="H1583" t="s">
        <v>427</v>
      </c>
    </row>
    <row r="1584" spans="6:8" x14ac:dyDescent="0.3">
      <c r="F1584" t="s">
        <v>1988</v>
      </c>
      <c r="G1584">
        <v>225.0504</v>
      </c>
      <c r="H1584" t="s">
        <v>427</v>
      </c>
    </row>
    <row r="1585" spans="6:8" x14ac:dyDescent="0.3">
      <c r="F1585" t="s">
        <v>1989</v>
      </c>
      <c r="G1585">
        <v>421.98160000000001</v>
      </c>
      <c r="H1585" t="s">
        <v>427</v>
      </c>
    </row>
    <row r="1586" spans="6:8" x14ac:dyDescent="0.3">
      <c r="F1586" t="s">
        <v>1990</v>
      </c>
      <c r="G1586">
        <v>570.024</v>
      </c>
      <c r="H1586" t="s">
        <v>433</v>
      </c>
    </row>
    <row r="1587" spans="6:8" x14ac:dyDescent="0.3">
      <c r="F1587" t="s">
        <v>1991</v>
      </c>
      <c r="G1587">
        <v>9.5736000000000008</v>
      </c>
      <c r="H1587" t="s">
        <v>423</v>
      </c>
    </row>
    <row r="1588" spans="6:8" x14ac:dyDescent="0.3">
      <c r="F1588" t="s">
        <v>1992</v>
      </c>
      <c r="G1588">
        <v>27.692</v>
      </c>
      <c r="H1588" t="s">
        <v>423</v>
      </c>
    </row>
    <row r="1589" spans="6:8" x14ac:dyDescent="0.3">
      <c r="F1589" t="s">
        <v>1993</v>
      </c>
      <c r="G1589">
        <v>74.797200000000004</v>
      </c>
      <c r="H1589" t="s">
        <v>423</v>
      </c>
    </row>
    <row r="1590" spans="6:8" x14ac:dyDescent="0.3">
      <c r="F1590" t="s">
        <v>1994</v>
      </c>
      <c r="G1590">
        <v>37.414200000000001</v>
      </c>
      <c r="H1590" t="s">
        <v>423</v>
      </c>
    </row>
    <row r="1591" spans="6:8" x14ac:dyDescent="0.3">
      <c r="F1591" t="s">
        <v>1995</v>
      </c>
      <c r="G1591">
        <v>-5.4767999999999999</v>
      </c>
      <c r="H1591" t="s">
        <v>423</v>
      </c>
    </row>
    <row r="1592" spans="6:8" x14ac:dyDescent="0.3">
      <c r="F1592" t="s">
        <v>1996</v>
      </c>
      <c r="G1592">
        <v>55.972799999999992</v>
      </c>
      <c r="H1592" t="s">
        <v>423</v>
      </c>
    </row>
    <row r="1593" spans="6:8" x14ac:dyDescent="0.3">
      <c r="F1593" t="s">
        <v>1997</v>
      </c>
      <c r="G1593">
        <v>8.6380000000000035</v>
      </c>
      <c r="H1593" t="s">
        <v>423</v>
      </c>
    </row>
    <row r="1594" spans="6:8" x14ac:dyDescent="0.3">
      <c r="F1594" t="s">
        <v>1998</v>
      </c>
      <c r="G1594">
        <v>5.6375999999999999</v>
      </c>
      <c r="H1594" t="s">
        <v>423</v>
      </c>
    </row>
    <row r="1595" spans="6:8" x14ac:dyDescent="0.3">
      <c r="F1595" t="s">
        <v>1999</v>
      </c>
      <c r="G1595">
        <v>8.3580000000000005</v>
      </c>
      <c r="H1595" t="s">
        <v>423</v>
      </c>
    </row>
    <row r="1596" spans="6:8" x14ac:dyDescent="0.3">
      <c r="F1596" t="s">
        <v>2000</v>
      </c>
      <c r="G1596">
        <v>-58.783199999999987</v>
      </c>
      <c r="H1596" t="s">
        <v>423</v>
      </c>
    </row>
    <row r="1597" spans="6:8" x14ac:dyDescent="0.3">
      <c r="F1597" t="s">
        <v>2001</v>
      </c>
      <c r="G1597">
        <v>478.76200000000011</v>
      </c>
      <c r="H1597" t="s">
        <v>427</v>
      </c>
    </row>
    <row r="1598" spans="6:8" x14ac:dyDescent="0.3">
      <c r="F1598" t="s">
        <v>2002</v>
      </c>
      <c r="G1598">
        <v>31.14</v>
      </c>
      <c r="H1598" t="s">
        <v>423</v>
      </c>
    </row>
    <row r="1599" spans="6:8" x14ac:dyDescent="0.3">
      <c r="F1599" t="s">
        <v>2003</v>
      </c>
      <c r="G1599">
        <v>11.473000000000001</v>
      </c>
      <c r="H1599" t="s">
        <v>423</v>
      </c>
    </row>
    <row r="1600" spans="6:8" x14ac:dyDescent="0.3">
      <c r="F1600" t="s">
        <v>2004</v>
      </c>
      <c r="G1600">
        <v>41.955800000000004</v>
      </c>
      <c r="H1600" t="s">
        <v>423</v>
      </c>
    </row>
    <row r="1601" spans="6:8" x14ac:dyDescent="0.3">
      <c r="F1601" t="s">
        <v>2005</v>
      </c>
      <c r="G1601">
        <v>91.040400000000005</v>
      </c>
      <c r="H1601" t="s">
        <v>423</v>
      </c>
    </row>
    <row r="1602" spans="6:8" x14ac:dyDescent="0.3">
      <c r="F1602" t="s">
        <v>2006</v>
      </c>
      <c r="G1602">
        <v>67.104000000000013</v>
      </c>
      <c r="H1602" t="s">
        <v>423</v>
      </c>
    </row>
    <row r="1603" spans="6:8" x14ac:dyDescent="0.3">
      <c r="F1603" t="s">
        <v>2007</v>
      </c>
      <c r="G1603">
        <v>16.155999999999999</v>
      </c>
      <c r="H1603" t="s">
        <v>423</v>
      </c>
    </row>
    <row r="1604" spans="6:8" x14ac:dyDescent="0.3">
      <c r="F1604" t="s">
        <v>2008</v>
      </c>
      <c r="G1604">
        <v>119.7364</v>
      </c>
      <c r="H1604" t="s">
        <v>427</v>
      </c>
    </row>
    <row r="1605" spans="6:8" x14ac:dyDescent="0.3">
      <c r="F1605" t="s">
        <v>2009</v>
      </c>
      <c r="G1605">
        <v>147.03</v>
      </c>
      <c r="H1605" t="s">
        <v>427</v>
      </c>
    </row>
    <row r="1606" spans="6:8" x14ac:dyDescent="0.3">
      <c r="F1606" t="s">
        <v>2010</v>
      </c>
      <c r="G1606">
        <v>24.291899999999998</v>
      </c>
      <c r="H1606" t="s">
        <v>423</v>
      </c>
    </row>
    <row r="1607" spans="6:8" x14ac:dyDescent="0.3">
      <c r="F1607" t="s">
        <v>2011</v>
      </c>
      <c r="G1607">
        <v>418.51639999999998</v>
      </c>
      <c r="H1607" t="s">
        <v>427</v>
      </c>
    </row>
    <row r="1608" spans="6:8" x14ac:dyDescent="0.3">
      <c r="F1608" t="s">
        <v>2012</v>
      </c>
      <c r="G1608">
        <v>33.81</v>
      </c>
      <c r="H1608" t="s">
        <v>423</v>
      </c>
    </row>
    <row r="1609" spans="6:8" x14ac:dyDescent="0.3">
      <c r="F1609" t="s">
        <v>2013</v>
      </c>
      <c r="G1609">
        <v>499.8</v>
      </c>
      <c r="H1609" t="s">
        <v>427</v>
      </c>
    </row>
    <row r="1610" spans="6:8" x14ac:dyDescent="0.3">
      <c r="F1610" t="s">
        <v>2014</v>
      </c>
      <c r="G1610">
        <v>120.36</v>
      </c>
      <c r="H1610" t="s">
        <v>427</v>
      </c>
    </row>
    <row r="1611" spans="6:8" x14ac:dyDescent="0.3">
      <c r="F1611" t="s">
        <v>2015</v>
      </c>
      <c r="G1611">
        <v>44.868000000000002</v>
      </c>
      <c r="H1611" t="s">
        <v>423</v>
      </c>
    </row>
    <row r="1612" spans="6:8" x14ac:dyDescent="0.3">
      <c r="F1612" t="s">
        <v>2016</v>
      </c>
      <c r="G1612">
        <v>22.783799999999999</v>
      </c>
      <c r="H1612" t="s">
        <v>423</v>
      </c>
    </row>
    <row r="1613" spans="6:8" x14ac:dyDescent="0.3">
      <c r="F1613" t="s">
        <v>2017</v>
      </c>
      <c r="G1613">
        <v>44.193600000000004</v>
      </c>
      <c r="H1613" t="s">
        <v>423</v>
      </c>
    </row>
    <row r="1614" spans="6:8" x14ac:dyDescent="0.3">
      <c r="F1614" t="s">
        <v>2018</v>
      </c>
      <c r="G1614">
        <v>38.623899999999992</v>
      </c>
      <c r="H1614" t="s">
        <v>423</v>
      </c>
    </row>
    <row r="1615" spans="6:8" x14ac:dyDescent="0.3">
      <c r="F1615" t="s">
        <v>2019</v>
      </c>
      <c r="G1615">
        <v>22.058399999999999</v>
      </c>
      <c r="H1615" t="s">
        <v>423</v>
      </c>
    </row>
    <row r="1616" spans="6:8" x14ac:dyDescent="0.3">
      <c r="F1616" t="s">
        <v>2020</v>
      </c>
      <c r="G1616">
        <v>71.28</v>
      </c>
      <c r="H1616" t="s">
        <v>423</v>
      </c>
    </row>
    <row r="1617" spans="6:8" x14ac:dyDescent="0.3">
      <c r="F1617" t="s">
        <v>2021</v>
      </c>
      <c r="G1617">
        <v>18.778099999999998</v>
      </c>
      <c r="H1617" t="s">
        <v>423</v>
      </c>
    </row>
    <row r="1618" spans="6:8" x14ac:dyDescent="0.3">
      <c r="F1618" t="s">
        <v>2022</v>
      </c>
      <c r="G1618">
        <v>150.97200000000001</v>
      </c>
      <c r="H1618" t="s">
        <v>427</v>
      </c>
    </row>
    <row r="1619" spans="6:8" x14ac:dyDescent="0.3">
      <c r="F1619" t="s">
        <v>2023</v>
      </c>
      <c r="G1619">
        <v>547.67880000000002</v>
      </c>
      <c r="H1619" t="s">
        <v>433</v>
      </c>
    </row>
    <row r="1620" spans="6:8" x14ac:dyDescent="0.3">
      <c r="F1620" t="s">
        <v>2024</v>
      </c>
      <c r="G1620">
        <v>408.26039999999989</v>
      </c>
      <c r="H1620" t="s">
        <v>427</v>
      </c>
    </row>
    <row r="1621" spans="6:8" x14ac:dyDescent="0.3">
      <c r="F1621" t="s">
        <v>2025</v>
      </c>
      <c r="G1621">
        <v>139.08000000000001</v>
      </c>
      <c r="H1621" t="s">
        <v>427</v>
      </c>
    </row>
    <row r="1622" spans="6:8" x14ac:dyDescent="0.3">
      <c r="F1622" t="s">
        <v>2026</v>
      </c>
      <c r="G1622">
        <v>72.793599999999998</v>
      </c>
      <c r="H1622" t="s">
        <v>423</v>
      </c>
    </row>
    <row r="1623" spans="6:8" x14ac:dyDescent="0.3">
      <c r="F1623" t="s">
        <v>2027</v>
      </c>
      <c r="G1623">
        <v>540.01499999999999</v>
      </c>
      <c r="H1623" t="s">
        <v>433</v>
      </c>
    </row>
    <row r="1624" spans="6:8" x14ac:dyDescent="0.3">
      <c r="F1624" t="s">
        <v>2028</v>
      </c>
      <c r="G1624">
        <v>515.52</v>
      </c>
      <c r="H1624" t="s">
        <v>433</v>
      </c>
    </row>
    <row r="1625" spans="6:8" x14ac:dyDescent="0.3">
      <c r="F1625" t="s">
        <v>2029</v>
      </c>
      <c r="G1625">
        <v>-8.5535999999999994</v>
      </c>
      <c r="H1625" t="s">
        <v>423</v>
      </c>
    </row>
    <row r="1626" spans="6:8" x14ac:dyDescent="0.3">
      <c r="F1626" t="s">
        <v>2030</v>
      </c>
      <c r="G1626">
        <v>35.297400000000003</v>
      </c>
      <c r="H1626" t="s">
        <v>423</v>
      </c>
    </row>
    <row r="1627" spans="6:8" x14ac:dyDescent="0.3">
      <c r="F1627" t="s">
        <v>2031</v>
      </c>
      <c r="G1627">
        <v>37.055199999999999</v>
      </c>
      <c r="H1627" t="s">
        <v>423</v>
      </c>
    </row>
    <row r="1628" spans="6:8" x14ac:dyDescent="0.3">
      <c r="F1628" t="s">
        <v>2032</v>
      </c>
      <c r="G1628">
        <v>55.248199999999997</v>
      </c>
      <c r="H1628" t="s">
        <v>423</v>
      </c>
    </row>
    <row r="1629" spans="6:8" x14ac:dyDescent="0.3">
      <c r="F1629" t="s">
        <v>2033</v>
      </c>
      <c r="G1629">
        <v>50.227999999999987</v>
      </c>
      <c r="H1629" t="s">
        <v>423</v>
      </c>
    </row>
    <row r="1630" spans="6:8" x14ac:dyDescent="0.3">
      <c r="F1630" t="s">
        <v>2034</v>
      </c>
      <c r="G1630">
        <v>-19.692799999999998</v>
      </c>
      <c r="H1630" t="s">
        <v>423</v>
      </c>
    </row>
    <row r="1631" spans="6:8" x14ac:dyDescent="0.3">
      <c r="F1631" t="s">
        <v>2035</v>
      </c>
      <c r="G1631">
        <v>15.525</v>
      </c>
      <c r="H1631" t="s">
        <v>423</v>
      </c>
    </row>
    <row r="1632" spans="6:8" x14ac:dyDescent="0.3">
      <c r="F1632" t="s">
        <v>2036</v>
      </c>
      <c r="G1632">
        <v>5.6159999999999997</v>
      </c>
      <c r="H1632" t="s">
        <v>423</v>
      </c>
    </row>
    <row r="1633" spans="6:8" x14ac:dyDescent="0.3">
      <c r="F1633" t="s">
        <v>2037</v>
      </c>
      <c r="G1633">
        <v>-82.175999999999988</v>
      </c>
      <c r="H1633" t="s">
        <v>423</v>
      </c>
    </row>
    <row r="1634" spans="6:8" x14ac:dyDescent="0.3">
      <c r="F1634" t="s">
        <v>2038</v>
      </c>
      <c r="G1634">
        <v>5.4282000000000004</v>
      </c>
      <c r="H1634" t="s">
        <v>423</v>
      </c>
    </row>
    <row r="1635" spans="6:8" x14ac:dyDescent="0.3">
      <c r="F1635" t="s">
        <v>2039</v>
      </c>
      <c r="G1635">
        <v>1.7807999999999991</v>
      </c>
      <c r="H1635" t="s">
        <v>423</v>
      </c>
    </row>
    <row r="1636" spans="6:8" x14ac:dyDescent="0.3">
      <c r="F1636" t="s">
        <v>2040</v>
      </c>
      <c r="G1636">
        <v>55.238</v>
      </c>
      <c r="H1636" t="s">
        <v>423</v>
      </c>
    </row>
    <row r="1637" spans="6:8" x14ac:dyDescent="0.3">
      <c r="F1637" t="s">
        <v>2041</v>
      </c>
      <c r="G1637">
        <v>157.95840000000001</v>
      </c>
      <c r="H1637" t="s">
        <v>427</v>
      </c>
    </row>
    <row r="1638" spans="6:8" x14ac:dyDescent="0.3">
      <c r="F1638" t="s">
        <v>2042</v>
      </c>
      <c r="G1638">
        <v>23.724399999999999</v>
      </c>
      <c r="H1638" t="s">
        <v>423</v>
      </c>
    </row>
    <row r="1639" spans="6:8" x14ac:dyDescent="0.3">
      <c r="F1639" t="s">
        <v>2043</v>
      </c>
      <c r="G1639">
        <v>12.802</v>
      </c>
      <c r="H1639" t="s">
        <v>423</v>
      </c>
    </row>
    <row r="1640" spans="6:8" x14ac:dyDescent="0.3">
      <c r="F1640" t="s">
        <v>2044</v>
      </c>
      <c r="G1640">
        <v>25.491599999999998</v>
      </c>
      <c r="H1640" t="s">
        <v>423</v>
      </c>
    </row>
    <row r="1641" spans="6:8" x14ac:dyDescent="0.3">
      <c r="F1641" t="s">
        <v>2045</v>
      </c>
      <c r="G1641">
        <v>215.5548</v>
      </c>
      <c r="H1641" t="s">
        <v>427</v>
      </c>
    </row>
    <row r="1642" spans="6:8" x14ac:dyDescent="0.3">
      <c r="F1642" t="s">
        <v>2046</v>
      </c>
      <c r="G1642">
        <v>48.378000000000043</v>
      </c>
      <c r="H1642" t="s">
        <v>423</v>
      </c>
    </row>
    <row r="1643" spans="6:8" x14ac:dyDescent="0.3">
      <c r="F1643" t="s">
        <v>2047</v>
      </c>
      <c r="G1643">
        <v>26.9192</v>
      </c>
      <c r="H1643" t="s">
        <v>423</v>
      </c>
    </row>
    <row r="1644" spans="6:8" x14ac:dyDescent="0.3">
      <c r="F1644" t="s">
        <v>2048</v>
      </c>
      <c r="G1644">
        <v>5.0596000000000014</v>
      </c>
      <c r="H1644" t="s">
        <v>423</v>
      </c>
    </row>
    <row r="1645" spans="6:8" x14ac:dyDescent="0.3">
      <c r="F1645" t="s">
        <v>2049</v>
      </c>
      <c r="G1645">
        <v>58.514800000000001</v>
      </c>
      <c r="H1645" t="s">
        <v>423</v>
      </c>
    </row>
    <row r="1646" spans="6:8" x14ac:dyDescent="0.3">
      <c r="F1646" t="s">
        <v>2050</v>
      </c>
      <c r="G1646">
        <v>15.3078</v>
      </c>
      <c r="H1646" t="s">
        <v>423</v>
      </c>
    </row>
    <row r="1647" spans="6:8" x14ac:dyDescent="0.3">
      <c r="F1647" t="s">
        <v>2051</v>
      </c>
      <c r="G1647">
        <v>30.74</v>
      </c>
      <c r="H1647" t="s">
        <v>423</v>
      </c>
    </row>
    <row r="1648" spans="6:8" x14ac:dyDescent="0.3">
      <c r="F1648" t="s">
        <v>2052</v>
      </c>
      <c r="G1648">
        <v>1043.855</v>
      </c>
      <c r="H1648" t="s">
        <v>433</v>
      </c>
    </row>
    <row r="1649" spans="6:8" x14ac:dyDescent="0.3">
      <c r="F1649" t="s">
        <v>2053</v>
      </c>
      <c r="G1649">
        <v>47.600999999999999</v>
      </c>
      <c r="H1649" t="s">
        <v>423</v>
      </c>
    </row>
    <row r="1650" spans="6:8" x14ac:dyDescent="0.3">
      <c r="F1650" t="s">
        <v>2054</v>
      </c>
      <c r="G1650">
        <v>87.694499999999991</v>
      </c>
      <c r="H1650" t="s">
        <v>423</v>
      </c>
    </row>
    <row r="1651" spans="6:8" x14ac:dyDescent="0.3">
      <c r="F1651" t="s">
        <v>2055</v>
      </c>
      <c r="G1651">
        <v>44.985600000000012</v>
      </c>
      <c r="H1651" t="s">
        <v>423</v>
      </c>
    </row>
    <row r="1652" spans="6:8" x14ac:dyDescent="0.3">
      <c r="F1652" t="s">
        <v>2056</v>
      </c>
      <c r="G1652">
        <v>31.309200000000001</v>
      </c>
      <c r="H1652" t="s">
        <v>423</v>
      </c>
    </row>
    <row r="1653" spans="6:8" x14ac:dyDescent="0.3">
      <c r="F1653" t="s">
        <v>2057</v>
      </c>
      <c r="G1653">
        <v>47.223000000000013</v>
      </c>
      <c r="H1653" t="s">
        <v>423</v>
      </c>
    </row>
    <row r="1654" spans="6:8" x14ac:dyDescent="0.3">
      <c r="F1654" t="s">
        <v>2058</v>
      </c>
      <c r="G1654">
        <v>95.265600000000006</v>
      </c>
      <c r="H1654" t="s">
        <v>423</v>
      </c>
    </row>
    <row r="1655" spans="6:8" x14ac:dyDescent="0.3">
      <c r="F1655" t="s">
        <v>2059</v>
      </c>
      <c r="G1655">
        <v>109.01519999999999</v>
      </c>
      <c r="H1655" t="s">
        <v>427</v>
      </c>
    </row>
    <row r="1656" spans="6:8" x14ac:dyDescent="0.3">
      <c r="F1656" t="s">
        <v>2060</v>
      </c>
      <c r="G1656">
        <v>49.084499999999998</v>
      </c>
      <c r="H1656" t="s">
        <v>423</v>
      </c>
    </row>
    <row r="1657" spans="6:8" x14ac:dyDescent="0.3">
      <c r="F1657" t="s">
        <v>2061</v>
      </c>
      <c r="G1657">
        <v>14.297499999999999</v>
      </c>
      <c r="H1657" t="s">
        <v>423</v>
      </c>
    </row>
    <row r="1658" spans="6:8" x14ac:dyDescent="0.3">
      <c r="F1658" t="s">
        <v>2062</v>
      </c>
      <c r="G1658">
        <v>60.403199999999998</v>
      </c>
      <c r="H1658" t="s">
        <v>423</v>
      </c>
    </row>
    <row r="1659" spans="6:8" x14ac:dyDescent="0.3">
      <c r="F1659" t="s">
        <v>2063</v>
      </c>
      <c r="G1659">
        <v>4.9504000000000001</v>
      </c>
      <c r="H1659" t="s">
        <v>423</v>
      </c>
    </row>
    <row r="1660" spans="6:8" x14ac:dyDescent="0.3">
      <c r="F1660" t="s">
        <v>2064</v>
      </c>
      <c r="G1660">
        <v>733.28120000000013</v>
      </c>
      <c r="H1660" t="s">
        <v>433</v>
      </c>
    </row>
    <row r="1661" spans="6:8" x14ac:dyDescent="0.3">
      <c r="F1661" t="s">
        <v>2065</v>
      </c>
      <c r="G1661">
        <v>2.6223999999999998</v>
      </c>
      <c r="H1661" t="s">
        <v>423</v>
      </c>
    </row>
    <row r="1662" spans="6:8" x14ac:dyDescent="0.3">
      <c r="F1662" t="s">
        <v>2066</v>
      </c>
      <c r="G1662">
        <v>67.740000000000009</v>
      </c>
      <c r="H1662" t="s">
        <v>423</v>
      </c>
    </row>
    <row r="1663" spans="6:8" x14ac:dyDescent="0.3">
      <c r="F1663" t="s">
        <v>2067</v>
      </c>
      <c r="G1663">
        <v>132.2895</v>
      </c>
      <c r="H1663" t="s">
        <v>427</v>
      </c>
    </row>
    <row r="1664" spans="6:8" x14ac:dyDescent="0.3">
      <c r="F1664" t="s">
        <v>2068</v>
      </c>
      <c r="G1664">
        <v>97.524000000000001</v>
      </c>
      <c r="H1664" t="s">
        <v>423</v>
      </c>
    </row>
    <row r="1665" spans="6:8" x14ac:dyDescent="0.3">
      <c r="F1665" t="s">
        <v>2069</v>
      </c>
      <c r="G1665">
        <v>285.64640000000003</v>
      </c>
      <c r="H1665" t="s">
        <v>427</v>
      </c>
    </row>
    <row r="1666" spans="6:8" x14ac:dyDescent="0.3">
      <c r="F1666" t="s">
        <v>2070</v>
      </c>
      <c r="G1666">
        <v>207.04079999999999</v>
      </c>
      <c r="H1666" t="s">
        <v>427</v>
      </c>
    </row>
    <row r="1667" spans="6:8" x14ac:dyDescent="0.3">
      <c r="F1667" t="s">
        <v>2071</v>
      </c>
      <c r="G1667">
        <v>273.18239999999997</v>
      </c>
      <c r="H1667" t="s">
        <v>427</v>
      </c>
    </row>
    <row r="1668" spans="6:8" x14ac:dyDescent="0.3">
      <c r="F1668" t="s">
        <v>2072</v>
      </c>
      <c r="G1668">
        <v>354.01960000000003</v>
      </c>
      <c r="H1668" t="s">
        <v>427</v>
      </c>
    </row>
    <row r="1669" spans="6:8" x14ac:dyDescent="0.3">
      <c r="F1669" t="s">
        <v>2073</v>
      </c>
      <c r="G1669">
        <v>204.59520000000001</v>
      </c>
      <c r="H1669" t="s">
        <v>427</v>
      </c>
    </row>
    <row r="1670" spans="6:8" x14ac:dyDescent="0.3">
      <c r="F1670" t="s">
        <v>2074</v>
      </c>
      <c r="G1670">
        <v>461.18400000000003</v>
      </c>
      <c r="H1670" t="s">
        <v>427</v>
      </c>
    </row>
    <row r="1671" spans="6:8" x14ac:dyDescent="0.3">
      <c r="F1671" t="s">
        <v>2075</v>
      </c>
      <c r="G1671">
        <v>302.72800000000001</v>
      </c>
      <c r="H1671" t="s">
        <v>427</v>
      </c>
    </row>
    <row r="1672" spans="6:8" x14ac:dyDescent="0.3">
      <c r="F1672" t="s">
        <v>2076</v>
      </c>
      <c r="G1672">
        <v>216.25800000000001</v>
      </c>
      <c r="H1672" t="s">
        <v>427</v>
      </c>
    </row>
    <row r="1673" spans="6:8" x14ac:dyDescent="0.3">
      <c r="F1673" t="s">
        <v>2077</v>
      </c>
      <c r="G1673">
        <v>539.26560000000006</v>
      </c>
      <c r="H1673" t="s">
        <v>433</v>
      </c>
    </row>
    <row r="1674" spans="6:8" x14ac:dyDescent="0.3">
      <c r="F1674" t="s">
        <v>2078</v>
      </c>
      <c r="G1674">
        <v>236.328</v>
      </c>
      <c r="H1674" t="s">
        <v>427</v>
      </c>
    </row>
    <row r="1675" spans="6:8" x14ac:dyDescent="0.3">
      <c r="F1675" t="s">
        <v>2079</v>
      </c>
      <c r="G1675">
        <v>746.53199999999993</v>
      </c>
      <c r="H1675" t="s">
        <v>433</v>
      </c>
    </row>
    <row r="1676" spans="6:8" x14ac:dyDescent="0.3">
      <c r="F1676" t="s">
        <v>2080</v>
      </c>
      <c r="G1676">
        <v>122.35</v>
      </c>
      <c r="H1676" t="s">
        <v>427</v>
      </c>
    </row>
    <row r="1677" spans="6:8" x14ac:dyDescent="0.3">
      <c r="F1677" t="s">
        <v>2081</v>
      </c>
      <c r="G1677">
        <v>542.90099999999995</v>
      </c>
      <c r="H1677" t="s">
        <v>433</v>
      </c>
    </row>
    <row r="1678" spans="6:8" x14ac:dyDescent="0.3">
      <c r="F1678" t="s">
        <v>2082</v>
      </c>
      <c r="G1678">
        <v>79.457999999999998</v>
      </c>
      <c r="H1678" t="s">
        <v>423</v>
      </c>
    </row>
    <row r="1679" spans="6:8" x14ac:dyDescent="0.3">
      <c r="F1679" t="s">
        <v>2083</v>
      </c>
      <c r="G1679">
        <v>619.35889999999984</v>
      </c>
      <c r="H1679" t="s">
        <v>433</v>
      </c>
    </row>
    <row r="1680" spans="6:8" x14ac:dyDescent="0.3">
      <c r="F1680" t="s">
        <v>2084</v>
      </c>
      <c r="G1680">
        <v>78.79679999999999</v>
      </c>
      <c r="H1680" t="s">
        <v>423</v>
      </c>
    </row>
    <row r="1681" spans="6:8" x14ac:dyDescent="0.3">
      <c r="F1681" t="s">
        <v>2085</v>
      </c>
      <c r="G1681">
        <v>82.822999999999993</v>
      </c>
      <c r="H1681" t="s">
        <v>423</v>
      </c>
    </row>
    <row r="1682" spans="6:8" x14ac:dyDescent="0.3">
      <c r="F1682" t="s">
        <v>2086</v>
      </c>
      <c r="G1682">
        <v>22.477499999999999</v>
      </c>
      <c r="H1682" t="s">
        <v>423</v>
      </c>
    </row>
    <row r="1683" spans="6:8" x14ac:dyDescent="0.3">
      <c r="F1683" t="s">
        <v>2087</v>
      </c>
      <c r="G1683">
        <v>27.091200000000001</v>
      </c>
      <c r="H1683" t="s">
        <v>423</v>
      </c>
    </row>
    <row r="1684" spans="6:8" x14ac:dyDescent="0.3">
      <c r="F1684" t="s">
        <v>2088</v>
      </c>
      <c r="G1684">
        <v>120.7744</v>
      </c>
      <c r="H1684" t="s">
        <v>427</v>
      </c>
    </row>
    <row r="1685" spans="6:8" x14ac:dyDescent="0.3">
      <c r="F1685" t="s">
        <v>2089</v>
      </c>
      <c r="G1685">
        <v>28.090800000000002</v>
      </c>
      <c r="H1685" t="s">
        <v>423</v>
      </c>
    </row>
    <row r="1686" spans="6:8" x14ac:dyDescent="0.3">
      <c r="F1686" t="s">
        <v>2090</v>
      </c>
      <c r="G1686">
        <v>159.547</v>
      </c>
      <c r="H1686" t="s">
        <v>427</v>
      </c>
    </row>
    <row r="1687" spans="6:8" x14ac:dyDescent="0.3">
      <c r="F1687" t="s">
        <v>2091</v>
      </c>
      <c r="G1687">
        <v>14.0436</v>
      </c>
      <c r="H1687" t="s">
        <v>423</v>
      </c>
    </row>
    <row r="1688" spans="6:8" x14ac:dyDescent="0.3">
      <c r="F1688" t="s">
        <v>2092</v>
      </c>
      <c r="G1688">
        <v>44.084000000000003</v>
      </c>
      <c r="H1688" t="s">
        <v>423</v>
      </c>
    </row>
    <row r="1689" spans="6:8" x14ac:dyDescent="0.3">
      <c r="F1689" t="s">
        <v>2093</v>
      </c>
      <c r="G1689">
        <v>5.28</v>
      </c>
      <c r="H1689" t="s">
        <v>423</v>
      </c>
    </row>
    <row r="1690" spans="6:8" x14ac:dyDescent="0.3">
      <c r="F1690" t="s">
        <v>2094</v>
      </c>
      <c r="G1690">
        <v>32.889600000000002</v>
      </c>
      <c r="H1690" t="s">
        <v>423</v>
      </c>
    </row>
    <row r="1691" spans="6:8" x14ac:dyDescent="0.3">
      <c r="F1691" t="s">
        <v>2095</v>
      </c>
      <c r="G1691">
        <v>65.540800000000004</v>
      </c>
      <c r="H1691" t="s">
        <v>423</v>
      </c>
    </row>
    <row r="1692" spans="6:8" x14ac:dyDescent="0.3">
      <c r="F1692" t="s">
        <v>2096</v>
      </c>
      <c r="G1692">
        <v>68.947200000000009</v>
      </c>
      <c r="H1692" t="s">
        <v>423</v>
      </c>
    </row>
    <row r="1693" spans="6:8" x14ac:dyDescent="0.3">
      <c r="F1693" t="s">
        <v>2097</v>
      </c>
      <c r="G1693">
        <v>497.57760000000002</v>
      </c>
      <c r="H1693" t="s">
        <v>427</v>
      </c>
    </row>
    <row r="1694" spans="6:8" x14ac:dyDescent="0.3">
      <c r="F1694" t="s">
        <v>2098</v>
      </c>
      <c r="G1694">
        <v>57.716000000000001</v>
      </c>
      <c r="H1694" t="s">
        <v>423</v>
      </c>
    </row>
    <row r="1695" spans="6:8" x14ac:dyDescent="0.3">
      <c r="F1695" t="s">
        <v>2099</v>
      </c>
      <c r="G1695">
        <v>799.39440000000002</v>
      </c>
      <c r="H1695" t="s">
        <v>433</v>
      </c>
    </row>
    <row r="1696" spans="6:8" x14ac:dyDescent="0.3">
      <c r="F1696" t="s">
        <v>2100</v>
      </c>
      <c r="G1696">
        <v>400.976</v>
      </c>
      <c r="H1696" t="s">
        <v>427</v>
      </c>
    </row>
    <row r="1697" spans="6:8" x14ac:dyDescent="0.3">
      <c r="F1697" t="s">
        <v>2101</v>
      </c>
      <c r="G1697">
        <v>354.24540000000002</v>
      </c>
      <c r="H1697" t="s">
        <v>427</v>
      </c>
    </row>
    <row r="1698" spans="6:8" x14ac:dyDescent="0.3">
      <c r="F1698" t="s">
        <v>2102</v>
      </c>
      <c r="G1698">
        <v>236.35679999999999</v>
      </c>
      <c r="H1698" t="s">
        <v>427</v>
      </c>
    </row>
    <row r="1699" spans="6:8" x14ac:dyDescent="0.3">
      <c r="F1699" t="s">
        <v>2103</v>
      </c>
      <c r="G1699">
        <v>279.73599999999999</v>
      </c>
      <c r="H1699" t="s">
        <v>427</v>
      </c>
    </row>
    <row r="1700" spans="6:8" x14ac:dyDescent="0.3">
      <c r="F1700" t="s">
        <v>2104</v>
      </c>
      <c r="G1700">
        <v>92.573600000000013</v>
      </c>
      <c r="H1700" t="s">
        <v>423</v>
      </c>
    </row>
    <row r="1701" spans="6:8" x14ac:dyDescent="0.3">
      <c r="F1701" t="s">
        <v>2105</v>
      </c>
      <c r="G1701">
        <v>375.04480000000001</v>
      </c>
      <c r="H1701" t="s">
        <v>427</v>
      </c>
    </row>
    <row r="1702" spans="6:8" x14ac:dyDescent="0.3">
      <c r="F1702" t="s">
        <v>2106</v>
      </c>
      <c r="G1702">
        <v>423.74159999999989</v>
      </c>
      <c r="H1702" t="s">
        <v>427</v>
      </c>
    </row>
    <row r="1703" spans="6:8" x14ac:dyDescent="0.3">
      <c r="F1703" t="s">
        <v>2107</v>
      </c>
      <c r="G1703">
        <v>1262.394</v>
      </c>
      <c r="H1703" t="s">
        <v>433</v>
      </c>
    </row>
    <row r="1704" spans="6:8" x14ac:dyDescent="0.3">
      <c r="F1704" t="s">
        <v>2108</v>
      </c>
      <c r="G1704">
        <v>342.58</v>
      </c>
      <c r="H1704" t="s">
        <v>427</v>
      </c>
    </row>
    <row r="1705" spans="6:8" x14ac:dyDescent="0.3">
      <c r="F1705" t="s">
        <v>2109</v>
      </c>
      <c r="G1705">
        <v>574.6925</v>
      </c>
      <c r="H1705" t="s">
        <v>433</v>
      </c>
    </row>
    <row r="1706" spans="6:8" x14ac:dyDescent="0.3">
      <c r="F1706" t="s">
        <v>2110</v>
      </c>
      <c r="G1706">
        <v>75.9696</v>
      </c>
      <c r="H1706" t="s">
        <v>423</v>
      </c>
    </row>
    <row r="1707" spans="6:8" x14ac:dyDescent="0.3">
      <c r="F1707" t="s">
        <v>2111</v>
      </c>
      <c r="G1707">
        <v>729.62199999999996</v>
      </c>
      <c r="H1707" t="s">
        <v>433</v>
      </c>
    </row>
    <row r="1708" spans="6:8" x14ac:dyDescent="0.3">
      <c r="F1708" t="s">
        <v>2112</v>
      </c>
      <c r="G1708">
        <v>68.428799999999995</v>
      </c>
      <c r="H1708" t="s">
        <v>423</v>
      </c>
    </row>
    <row r="1709" spans="6:8" x14ac:dyDescent="0.3">
      <c r="F1709" t="s">
        <v>2113</v>
      </c>
      <c r="G1709">
        <v>40.365000000000002</v>
      </c>
      <c r="H1709" t="s">
        <v>423</v>
      </c>
    </row>
    <row r="1710" spans="6:8" x14ac:dyDescent="0.3">
      <c r="F1710" t="s">
        <v>2114</v>
      </c>
      <c r="G1710">
        <v>17.482500000000002</v>
      </c>
      <c r="H1710" t="s">
        <v>423</v>
      </c>
    </row>
    <row r="1711" spans="6:8" x14ac:dyDescent="0.3">
      <c r="F1711" t="s">
        <v>2115</v>
      </c>
      <c r="G1711">
        <v>4.3326000000000002</v>
      </c>
      <c r="H1711" t="s">
        <v>423</v>
      </c>
    </row>
    <row r="1712" spans="6:8" x14ac:dyDescent="0.3">
      <c r="F1712" t="s">
        <v>2116</v>
      </c>
      <c r="G1712">
        <v>39.278399999999998</v>
      </c>
      <c r="H1712" t="s">
        <v>423</v>
      </c>
    </row>
    <row r="1713" spans="6:8" x14ac:dyDescent="0.3">
      <c r="F1713" t="s">
        <v>2117</v>
      </c>
      <c r="G1713">
        <v>24.738399999999999</v>
      </c>
      <c r="H1713" t="s">
        <v>423</v>
      </c>
    </row>
    <row r="1714" spans="6:8" x14ac:dyDescent="0.3">
      <c r="F1714" t="s">
        <v>2118</v>
      </c>
      <c r="G1714">
        <v>182.78200000000001</v>
      </c>
      <c r="H1714" t="s">
        <v>427</v>
      </c>
    </row>
    <row r="1715" spans="6:8" x14ac:dyDescent="0.3">
      <c r="F1715" t="s">
        <v>2119</v>
      </c>
      <c r="G1715">
        <v>16.3842</v>
      </c>
      <c r="H1715" t="s">
        <v>423</v>
      </c>
    </row>
    <row r="1716" spans="6:8" x14ac:dyDescent="0.3">
      <c r="F1716" t="s">
        <v>2120</v>
      </c>
      <c r="G1716">
        <v>22.684000000000001</v>
      </c>
      <c r="H1716" t="s">
        <v>423</v>
      </c>
    </row>
    <row r="1717" spans="6:8" x14ac:dyDescent="0.3">
      <c r="F1717" t="s">
        <v>2121</v>
      </c>
      <c r="G1717">
        <v>49.103999999999999</v>
      </c>
      <c r="H1717" t="s">
        <v>423</v>
      </c>
    </row>
    <row r="1718" spans="6:8" x14ac:dyDescent="0.3">
      <c r="F1718" t="s">
        <v>2122</v>
      </c>
      <c r="G1718">
        <v>154.39840000000001</v>
      </c>
      <c r="H1718" t="s">
        <v>427</v>
      </c>
    </row>
    <row r="1719" spans="6:8" x14ac:dyDescent="0.3">
      <c r="F1719" t="s">
        <v>2123</v>
      </c>
      <c r="G1719">
        <v>38.092599999999997</v>
      </c>
      <c r="H1719" t="s">
        <v>423</v>
      </c>
    </row>
    <row r="1720" spans="6:8" x14ac:dyDescent="0.3">
      <c r="F1720" t="s">
        <v>2124</v>
      </c>
      <c r="G1720">
        <v>59.3568</v>
      </c>
      <c r="H1720" t="s">
        <v>423</v>
      </c>
    </row>
    <row r="1721" spans="6:8" x14ac:dyDescent="0.3">
      <c r="F1721" t="s">
        <v>2125</v>
      </c>
      <c r="G1721">
        <v>88.6464</v>
      </c>
      <c r="H1721" t="s">
        <v>423</v>
      </c>
    </row>
    <row r="1722" spans="6:8" x14ac:dyDescent="0.3">
      <c r="F1722" t="s">
        <v>2126</v>
      </c>
      <c r="G1722">
        <v>28.706399999999999</v>
      </c>
      <c r="H1722" t="s">
        <v>423</v>
      </c>
    </row>
    <row r="1723" spans="6:8" x14ac:dyDescent="0.3">
      <c r="F1723" t="s">
        <v>2127</v>
      </c>
      <c r="G1723">
        <v>138.51840000000001</v>
      </c>
      <c r="H1723" t="s">
        <v>427</v>
      </c>
    </row>
    <row r="1724" spans="6:8" x14ac:dyDescent="0.3">
      <c r="F1724" t="s">
        <v>2128</v>
      </c>
      <c r="G1724">
        <v>526.2120000000001</v>
      </c>
      <c r="H1724" t="s">
        <v>433</v>
      </c>
    </row>
    <row r="1725" spans="6:8" x14ac:dyDescent="0.3">
      <c r="F1725" t="s">
        <v>2129</v>
      </c>
      <c r="G1725">
        <v>239.00280000000001</v>
      </c>
      <c r="H1725" t="s">
        <v>427</v>
      </c>
    </row>
    <row r="1726" spans="6:8" x14ac:dyDescent="0.3">
      <c r="F1726" t="s">
        <v>2130</v>
      </c>
      <c r="G1726">
        <v>60.539400000000001</v>
      </c>
      <c r="H1726" t="s">
        <v>423</v>
      </c>
    </row>
    <row r="1727" spans="6:8" x14ac:dyDescent="0.3">
      <c r="F1727" t="s">
        <v>2131</v>
      </c>
      <c r="G1727">
        <v>199.84639999999999</v>
      </c>
      <c r="H1727" t="s">
        <v>427</v>
      </c>
    </row>
    <row r="1728" spans="6:8" x14ac:dyDescent="0.3">
      <c r="F1728" t="s">
        <v>2132</v>
      </c>
      <c r="G1728">
        <v>93.884</v>
      </c>
      <c r="H1728" t="s">
        <v>423</v>
      </c>
    </row>
    <row r="1729" spans="6:8" x14ac:dyDescent="0.3">
      <c r="F1729" t="s">
        <v>2133</v>
      </c>
      <c r="G1729">
        <v>200.32320000000001</v>
      </c>
      <c r="H1729" t="s">
        <v>427</v>
      </c>
    </row>
    <row r="1730" spans="6:8" x14ac:dyDescent="0.3">
      <c r="F1730" t="s">
        <v>2134</v>
      </c>
      <c r="G1730">
        <v>184.1936</v>
      </c>
      <c r="H1730" t="s">
        <v>427</v>
      </c>
    </row>
    <row r="1731" spans="6:8" x14ac:dyDescent="0.3">
      <c r="F1731" t="s">
        <v>2135</v>
      </c>
      <c r="G1731">
        <v>279.1968</v>
      </c>
      <c r="H1731" t="s">
        <v>427</v>
      </c>
    </row>
    <row r="1732" spans="6:8" x14ac:dyDescent="0.3">
      <c r="F1732" t="s">
        <v>2136</v>
      </c>
      <c r="G1732">
        <v>704.59199999999998</v>
      </c>
      <c r="H1732" t="s">
        <v>433</v>
      </c>
    </row>
    <row r="1733" spans="6:8" x14ac:dyDescent="0.3">
      <c r="F1733" t="s">
        <v>2137</v>
      </c>
      <c r="G1733">
        <v>278.95800000000003</v>
      </c>
      <c r="H1733" t="s">
        <v>427</v>
      </c>
    </row>
    <row r="1734" spans="6:8" x14ac:dyDescent="0.3">
      <c r="F1734" t="s">
        <v>2138</v>
      </c>
      <c r="G1734">
        <v>328.67520000000002</v>
      </c>
      <c r="H1734" t="s">
        <v>427</v>
      </c>
    </row>
    <row r="1735" spans="6:8" x14ac:dyDescent="0.3">
      <c r="F1735" t="s">
        <v>2139</v>
      </c>
      <c r="G1735">
        <v>257.3664</v>
      </c>
      <c r="H1735" t="s">
        <v>427</v>
      </c>
    </row>
    <row r="1736" spans="6:8" x14ac:dyDescent="0.3">
      <c r="F1736" t="s">
        <v>2140</v>
      </c>
      <c r="G1736">
        <v>756.26549999999997</v>
      </c>
      <c r="H1736" t="s">
        <v>433</v>
      </c>
    </row>
    <row r="1737" spans="6:8" x14ac:dyDescent="0.3">
      <c r="F1737" t="s">
        <v>2141</v>
      </c>
      <c r="G1737">
        <v>35.251199999999997</v>
      </c>
      <c r="H1737" t="s">
        <v>423</v>
      </c>
    </row>
    <row r="1738" spans="6:8" x14ac:dyDescent="0.3">
      <c r="F1738" t="s">
        <v>2142</v>
      </c>
      <c r="G1738">
        <v>54.119</v>
      </c>
      <c r="H1738" t="s">
        <v>423</v>
      </c>
    </row>
    <row r="1739" spans="6:8" x14ac:dyDescent="0.3">
      <c r="F1739" t="s">
        <v>2143</v>
      </c>
      <c r="G1739">
        <v>67.432500000000005</v>
      </c>
      <c r="H1739" t="s">
        <v>423</v>
      </c>
    </row>
    <row r="1740" spans="6:8" x14ac:dyDescent="0.3">
      <c r="F1740" t="s">
        <v>2144</v>
      </c>
      <c r="G1740">
        <v>43.425600000000003</v>
      </c>
      <c r="H1740" t="s">
        <v>423</v>
      </c>
    </row>
    <row r="1741" spans="6:8" x14ac:dyDescent="0.3">
      <c r="F1741" t="s">
        <v>2145</v>
      </c>
      <c r="G1741">
        <v>70.540800000000004</v>
      </c>
      <c r="H1741" t="s">
        <v>423</v>
      </c>
    </row>
    <row r="1742" spans="6:8" x14ac:dyDescent="0.3">
      <c r="F1742" t="s">
        <v>2146</v>
      </c>
      <c r="G1742">
        <v>23.177800000000001</v>
      </c>
      <c r="H1742" t="s">
        <v>423</v>
      </c>
    </row>
    <row r="1743" spans="6:8" x14ac:dyDescent="0.3">
      <c r="F1743" t="s">
        <v>2147</v>
      </c>
      <c r="G1743">
        <v>244.74199999999999</v>
      </c>
      <c r="H1743" t="s">
        <v>427</v>
      </c>
    </row>
    <row r="1744" spans="6:8" x14ac:dyDescent="0.3">
      <c r="F1744" t="s">
        <v>2148</v>
      </c>
      <c r="G1744">
        <v>44.82</v>
      </c>
      <c r="H1744" t="s">
        <v>423</v>
      </c>
    </row>
    <row r="1745" spans="6:8" x14ac:dyDescent="0.3">
      <c r="F1745" t="s">
        <v>2149</v>
      </c>
      <c r="G1745">
        <v>18.832000000000001</v>
      </c>
      <c r="H1745" t="s">
        <v>423</v>
      </c>
    </row>
    <row r="1746" spans="6:8" x14ac:dyDescent="0.3">
      <c r="F1746" t="s">
        <v>2150</v>
      </c>
      <c r="G1746">
        <v>32.208000000000013</v>
      </c>
      <c r="H1746" t="s">
        <v>423</v>
      </c>
    </row>
    <row r="1747" spans="6:8" x14ac:dyDescent="0.3">
      <c r="F1747" t="s">
        <v>2151</v>
      </c>
      <c r="G1747">
        <v>59.384</v>
      </c>
      <c r="H1747" t="s">
        <v>423</v>
      </c>
    </row>
    <row r="1748" spans="6:8" x14ac:dyDescent="0.3">
      <c r="F1748" t="s">
        <v>2152</v>
      </c>
      <c r="G1748">
        <v>40.903199999999998</v>
      </c>
      <c r="H1748" t="s">
        <v>423</v>
      </c>
    </row>
    <row r="1749" spans="6:8" x14ac:dyDescent="0.3">
      <c r="F1749" t="s">
        <v>2153</v>
      </c>
      <c r="G1749">
        <v>39.7224</v>
      </c>
      <c r="H1749" t="s">
        <v>423</v>
      </c>
    </row>
    <row r="1750" spans="6:8" x14ac:dyDescent="0.3">
      <c r="F1750" t="s">
        <v>2154</v>
      </c>
      <c r="G1750">
        <v>15.552</v>
      </c>
      <c r="H1750" t="s">
        <v>423</v>
      </c>
    </row>
    <row r="1751" spans="6:8" x14ac:dyDescent="0.3">
      <c r="F1751" t="s">
        <v>2155</v>
      </c>
      <c r="G1751">
        <v>60.654400000000003</v>
      </c>
      <c r="H1751" t="s">
        <v>423</v>
      </c>
    </row>
    <row r="1752" spans="6:8" x14ac:dyDescent="0.3">
      <c r="F1752" t="s">
        <v>2156</v>
      </c>
      <c r="G1752">
        <v>39.419600000000003</v>
      </c>
      <c r="H1752" t="s">
        <v>423</v>
      </c>
    </row>
    <row r="1753" spans="6:8" x14ac:dyDescent="0.3">
      <c r="F1753" t="s">
        <v>2157</v>
      </c>
      <c r="G1753">
        <v>334.58399999999989</v>
      </c>
      <c r="H1753" t="s">
        <v>427</v>
      </c>
    </row>
    <row r="1754" spans="6:8" x14ac:dyDescent="0.3">
      <c r="F1754" t="s">
        <v>2158</v>
      </c>
      <c r="G1754">
        <v>43.655999999999999</v>
      </c>
      <c r="H1754" t="s">
        <v>423</v>
      </c>
    </row>
    <row r="1755" spans="6:8" x14ac:dyDescent="0.3">
      <c r="F1755" t="s">
        <v>2159</v>
      </c>
      <c r="G1755">
        <v>27.72</v>
      </c>
      <c r="H1755" t="s">
        <v>423</v>
      </c>
    </row>
    <row r="1756" spans="6:8" x14ac:dyDescent="0.3">
      <c r="F1756" t="s">
        <v>2160</v>
      </c>
      <c r="G1756">
        <v>314.73520000000002</v>
      </c>
      <c r="H1756" t="s">
        <v>427</v>
      </c>
    </row>
    <row r="1757" spans="6:8" x14ac:dyDescent="0.3">
      <c r="F1757" t="s">
        <v>2161</v>
      </c>
      <c r="G1757">
        <v>25.713999999999999</v>
      </c>
      <c r="H1757" t="s">
        <v>423</v>
      </c>
    </row>
    <row r="1758" spans="6:8" x14ac:dyDescent="0.3">
      <c r="F1758" t="s">
        <v>2162</v>
      </c>
      <c r="G1758">
        <v>32.788800000000002</v>
      </c>
      <c r="H1758" t="s">
        <v>423</v>
      </c>
    </row>
    <row r="1759" spans="6:8" x14ac:dyDescent="0.3">
      <c r="F1759" t="s">
        <v>2163</v>
      </c>
      <c r="G1759">
        <v>38.880000000000003</v>
      </c>
      <c r="H1759" t="s">
        <v>423</v>
      </c>
    </row>
    <row r="1760" spans="6:8" x14ac:dyDescent="0.3">
      <c r="F1760" t="s">
        <v>2164</v>
      </c>
      <c r="G1760">
        <v>75.350400000000008</v>
      </c>
      <c r="H1760" t="s">
        <v>423</v>
      </c>
    </row>
    <row r="1761" spans="6:8" x14ac:dyDescent="0.3">
      <c r="F1761" t="s">
        <v>2165</v>
      </c>
      <c r="G1761">
        <v>5.6643999999999997</v>
      </c>
      <c r="H1761" t="s">
        <v>423</v>
      </c>
    </row>
    <row r="1762" spans="6:8" x14ac:dyDescent="0.3">
      <c r="F1762" t="s">
        <v>2166</v>
      </c>
      <c r="G1762">
        <v>195.17400000000001</v>
      </c>
      <c r="H1762" t="s">
        <v>427</v>
      </c>
    </row>
    <row r="1763" spans="6:8" x14ac:dyDescent="0.3">
      <c r="F1763" t="s">
        <v>2167</v>
      </c>
      <c r="G1763">
        <v>43.525199999999998</v>
      </c>
      <c r="H1763" t="s">
        <v>423</v>
      </c>
    </row>
    <row r="1764" spans="6:8" x14ac:dyDescent="0.3">
      <c r="F1764" t="s">
        <v>2168</v>
      </c>
      <c r="G1764">
        <v>47.936</v>
      </c>
      <c r="H1764" t="s">
        <v>423</v>
      </c>
    </row>
    <row r="1765" spans="6:8" x14ac:dyDescent="0.3">
      <c r="F1765" t="s">
        <v>2169</v>
      </c>
      <c r="G1765">
        <v>17.423999999999999</v>
      </c>
      <c r="H1765" t="s">
        <v>423</v>
      </c>
    </row>
    <row r="1766" spans="6:8" x14ac:dyDescent="0.3">
      <c r="F1766" t="s">
        <v>2170</v>
      </c>
      <c r="G1766">
        <v>70.347200000000001</v>
      </c>
      <c r="H1766" t="s">
        <v>423</v>
      </c>
    </row>
    <row r="1767" spans="6:8" x14ac:dyDescent="0.3">
      <c r="F1767" t="s">
        <v>2171</v>
      </c>
      <c r="G1767">
        <v>26.91</v>
      </c>
      <c r="H1767" t="s">
        <v>423</v>
      </c>
    </row>
    <row r="1768" spans="6:8" x14ac:dyDescent="0.3">
      <c r="F1768" t="s">
        <v>2172</v>
      </c>
      <c r="G1768">
        <v>30.3264</v>
      </c>
      <c r="H1768" t="s">
        <v>423</v>
      </c>
    </row>
    <row r="1769" spans="6:8" x14ac:dyDescent="0.3">
      <c r="F1769" t="s">
        <v>2173</v>
      </c>
      <c r="G1769">
        <v>12.700799999999999</v>
      </c>
      <c r="H1769" t="s">
        <v>423</v>
      </c>
    </row>
    <row r="1770" spans="6:8" x14ac:dyDescent="0.3">
      <c r="F1770" t="s">
        <v>2174</v>
      </c>
      <c r="G1770">
        <v>61.456000000000003</v>
      </c>
      <c r="H1770" t="s">
        <v>423</v>
      </c>
    </row>
    <row r="1771" spans="6:8" x14ac:dyDescent="0.3">
      <c r="F1771" t="s">
        <v>2175</v>
      </c>
      <c r="G1771">
        <v>74.330800000000011</v>
      </c>
      <c r="H1771" t="s">
        <v>423</v>
      </c>
    </row>
    <row r="1772" spans="6:8" x14ac:dyDescent="0.3">
      <c r="F1772" t="s">
        <v>2176</v>
      </c>
      <c r="G1772">
        <v>140.959</v>
      </c>
      <c r="H1772" t="s">
        <v>427</v>
      </c>
    </row>
    <row r="1773" spans="6:8" x14ac:dyDescent="0.3">
      <c r="F1773" t="s">
        <v>2177</v>
      </c>
      <c r="G1773">
        <v>33.465600000000002</v>
      </c>
      <c r="H1773" t="s">
        <v>423</v>
      </c>
    </row>
    <row r="1774" spans="6:8" x14ac:dyDescent="0.3">
      <c r="F1774" t="s">
        <v>2178</v>
      </c>
      <c r="G1774">
        <v>15.407999999999999</v>
      </c>
      <c r="H1774" t="s">
        <v>423</v>
      </c>
    </row>
    <row r="1775" spans="6:8" x14ac:dyDescent="0.3">
      <c r="F1775" t="s">
        <v>2179</v>
      </c>
      <c r="G1775">
        <v>30.096</v>
      </c>
      <c r="H1775" t="s">
        <v>423</v>
      </c>
    </row>
    <row r="1776" spans="6:8" x14ac:dyDescent="0.3">
      <c r="F1776" t="s">
        <v>2180</v>
      </c>
      <c r="G1776">
        <v>89.532799999999995</v>
      </c>
      <c r="H1776" t="s">
        <v>423</v>
      </c>
    </row>
    <row r="1777" spans="6:8" x14ac:dyDescent="0.3">
      <c r="F1777" t="s">
        <v>2181</v>
      </c>
      <c r="G1777">
        <v>14.651</v>
      </c>
      <c r="H1777" t="s">
        <v>423</v>
      </c>
    </row>
    <row r="1778" spans="6:8" x14ac:dyDescent="0.3">
      <c r="F1778" t="s">
        <v>2182</v>
      </c>
      <c r="G1778">
        <v>6.3503999999999996</v>
      </c>
      <c r="H1778" t="s">
        <v>423</v>
      </c>
    </row>
    <row r="1779" spans="6:8" x14ac:dyDescent="0.3">
      <c r="F1779" t="s">
        <v>2183</v>
      </c>
      <c r="G1779">
        <v>9.0719999999999992</v>
      </c>
      <c r="H1779" t="s">
        <v>423</v>
      </c>
    </row>
    <row r="1780" spans="6:8" x14ac:dyDescent="0.3">
      <c r="F1780" t="s">
        <v>2184</v>
      </c>
      <c r="G1780">
        <v>40.347200000000001</v>
      </c>
      <c r="H1780" t="s">
        <v>423</v>
      </c>
    </row>
    <row r="1781" spans="6:8" x14ac:dyDescent="0.3">
      <c r="F1781" t="s">
        <v>2185</v>
      </c>
      <c r="G1781">
        <v>45.315199999999997</v>
      </c>
      <c r="H1781" t="s">
        <v>423</v>
      </c>
    </row>
    <row r="1782" spans="6:8" x14ac:dyDescent="0.3">
      <c r="F1782" t="s">
        <v>2186</v>
      </c>
      <c r="G1782">
        <v>404.28899999999999</v>
      </c>
      <c r="H1782" t="s">
        <v>427</v>
      </c>
    </row>
    <row r="1783" spans="6:8" x14ac:dyDescent="0.3">
      <c r="F1783" t="s">
        <v>2187</v>
      </c>
      <c r="G1783">
        <v>2.6892</v>
      </c>
      <c r="H1783" t="s">
        <v>423</v>
      </c>
    </row>
    <row r="1784" spans="6:8" x14ac:dyDescent="0.3">
      <c r="F1784" t="s">
        <v>2188</v>
      </c>
      <c r="G1784">
        <v>19.687999999999999</v>
      </c>
      <c r="H1784" t="s">
        <v>423</v>
      </c>
    </row>
    <row r="1785" spans="6:8" x14ac:dyDescent="0.3">
      <c r="F1785" t="s">
        <v>2189</v>
      </c>
      <c r="G1785">
        <v>13.728</v>
      </c>
      <c r="H1785" t="s">
        <v>423</v>
      </c>
    </row>
    <row r="1786" spans="6:8" x14ac:dyDescent="0.3">
      <c r="F1786" t="s">
        <v>2190</v>
      </c>
      <c r="G1786">
        <v>254.89439999999999</v>
      </c>
      <c r="H1786" t="s">
        <v>427</v>
      </c>
    </row>
    <row r="1787" spans="6:8" x14ac:dyDescent="0.3">
      <c r="F1787" t="s">
        <v>2191</v>
      </c>
      <c r="G1787">
        <v>40.364999999999988</v>
      </c>
      <c r="H1787" t="s">
        <v>423</v>
      </c>
    </row>
    <row r="1788" spans="6:8" x14ac:dyDescent="0.3">
      <c r="F1788" t="s">
        <v>2192</v>
      </c>
      <c r="G1788">
        <v>68.428799999999995</v>
      </c>
      <c r="H1788" t="s">
        <v>423</v>
      </c>
    </row>
    <row r="1789" spans="6:8" x14ac:dyDescent="0.3">
      <c r="F1789" t="s">
        <v>2193</v>
      </c>
      <c r="G1789">
        <v>32.659199999999998</v>
      </c>
      <c r="H1789" t="s">
        <v>423</v>
      </c>
    </row>
    <row r="1790" spans="6:8" x14ac:dyDescent="0.3">
      <c r="F1790" t="s">
        <v>2194</v>
      </c>
      <c r="G1790">
        <v>47.692799999999991</v>
      </c>
      <c r="H1790" t="s">
        <v>423</v>
      </c>
    </row>
    <row r="1791" spans="6:8" x14ac:dyDescent="0.3">
      <c r="F1791" t="s">
        <v>2195</v>
      </c>
      <c r="G1791">
        <v>81.907200000000003</v>
      </c>
      <c r="H1791" t="s">
        <v>423</v>
      </c>
    </row>
    <row r="1792" spans="6:8" x14ac:dyDescent="0.3">
      <c r="F1792" t="s">
        <v>2196</v>
      </c>
      <c r="G1792">
        <v>77.759999999999991</v>
      </c>
      <c r="H1792" t="s">
        <v>423</v>
      </c>
    </row>
    <row r="1793" spans="6:8" x14ac:dyDescent="0.3">
      <c r="F1793" t="s">
        <v>2197</v>
      </c>
      <c r="G1793">
        <v>16.329599999999999</v>
      </c>
      <c r="H1793" t="s">
        <v>423</v>
      </c>
    </row>
    <row r="1794" spans="6:8" x14ac:dyDescent="0.3">
      <c r="F1794" t="s">
        <v>2198</v>
      </c>
      <c r="G1794">
        <v>41.212799999999987</v>
      </c>
      <c r="H1794" t="s">
        <v>423</v>
      </c>
    </row>
    <row r="1795" spans="6:8" x14ac:dyDescent="0.3">
      <c r="F1795" t="s">
        <v>2199</v>
      </c>
      <c r="G1795">
        <v>53.136000000000003</v>
      </c>
      <c r="H1795" t="s">
        <v>423</v>
      </c>
    </row>
    <row r="1796" spans="6:8" x14ac:dyDescent="0.3">
      <c r="F1796" t="s">
        <v>2200</v>
      </c>
      <c r="G1796">
        <v>3.1103999999999998</v>
      </c>
      <c r="H1796" t="s">
        <v>423</v>
      </c>
    </row>
    <row r="1797" spans="6:8" x14ac:dyDescent="0.3">
      <c r="F1797" t="s">
        <v>2201</v>
      </c>
      <c r="G1797">
        <v>33.695999999999998</v>
      </c>
      <c r="H1797" t="s">
        <v>423</v>
      </c>
    </row>
    <row r="1798" spans="6:8" x14ac:dyDescent="0.3">
      <c r="F1798" t="s">
        <v>2202</v>
      </c>
      <c r="G1798">
        <v>37.065600000000003</v>
      </c>
      <c r="H1798" t="s">
        <v>423</v>
      </c>
    </row>
    <row r="1799" spans="6:8" x14ac:dyDescent="0.3">
      <c r="F1799" t="s">
        <v>2203</v>
      </c>
      <c r="G1799">
        <v>46.137599999999999</v>
      </c>
      <c r="H1799" t="s">
        <v>423</v>
      </c>
    </row>
    <row r="1800" spans="6:8" x14ac:dyDescent="0.3">
      <c r="F1800" t="s">
        <v>2204</v>
      </c>
      <c r="G1800">
        <v>76.723199999999991</v>
      </c>
      <c r="H1800" t="s">
        <v>423</v>
      </c>
    </row>
    <row r="1801" spans="6:8" x14ac:dyDescent="0.3">
      <c r="F1801" t="s">
        <v>2205</v>
      </c>
      <c r="G1801">
        <v>62.985600000000012</v>
      </c>
      <c r="H1801" t="s">
        <v>423</v>
      </c>
    </row>
    <row r="1802" spans="6:8" x14ac:dyDescent="0.3">
      <c r="F1802" t="s">
        <v>2206</v>
      </c>
      <c r="G1802">
        <v>52.876800000000003</v>
      </c>
      <c r="H1802" t="s">
        <v>423</v>
      </c>
    </row>
    <row r="1803" spans="6:8" x14ac:dyDescent="0.3">
      <c r="F1803" t="s">
        <v>2207</v>
      </c>
      <c r="G1803">
        <v>69.465599999999995</v>
      </c>
      <c r="H1803" t="s">
        <v>423</v>
      </c>
    </row>
    <row r="1804" spans="6:8" x14ac:dyDescent="0.3">
      <c r="F1804" t="s">
        <v>2208</v>
      </c>
      <c r="G1804">
        <v>23.846399999999999</v>
      </c>
      <c r="H1804" t="s">
        <v>423</v>
      </c>
    </row>
    <row r="1805" spans="6:8" x14ac:dyDescent="0.3">
      <c r="F1805" t="s">
        <v>2209</v>
      </c>
      <c r="G1805">
        <v>16.588799999999999</v>
      </c>
      <c r="H1805" t="s">
        <v>423</v>
      </c>
    </row>
    <row r="1806" spans="6:8" x14ac:dyDescent="0.3">
      <c r="F1806" t="s">
        <v>2210</v>
      </c>
      <c r="G1806">
        <v>24.105599999999999</v>
      </c>
      <c r="H1806" t="s">
        <v>423</v>
      </c>
    </row>
    <row r="1807" spans="6:8" x14ac:dyDescent="0.3">
      <c r="F1807" t="s">
        <v>2211</v>
      </c>
      <c r="G1807">
        <v>90.201599999999999</v>
      </c>
      <c r="H1807" t="s">
        <v>423</v>
      </c>
    </row>
    <row r="1808" spans="6:8" x14ac:dyDescent="0.3">
      <c r="F1808" t="s">
        <v>2212</v>
      </c>
      <c r="G1808">
        <v>43.5456</v>
      </c>
      <c r="H1808" t="s">
        <v>423</v>
      </c>
    </row>
    <row r="1809" spans="6:8" x14ac:dyDescent="0.3">
      <c r="F1809" t="s">
        <v>2213</v>
      </c>
      <c r="G1809">
        <v>35.251199999999997</v>
      </c>
      <c r="H1809" t="s">
        <v>423</v>
      </c>
    </row>
    <row r="1810" spans="6:8" x14ac:dyDescent="0.3">
      <c r="F1810" t="s">
        <v>2214</v>
      </c>
      <c r="G1810">
        <v>40.953600000000002</v>
      </c>
      <c r="H1810" t="s">
        <v>423</v>
      </c>
    </row>
    <row r="1811" spans="6:8" x14ac:dyDescent="0.3">
      <c r="F1811" t="s">
        <v>2215</v>
      </c>
      <c r="G1811">
        <v>57.024000000000001</v>
      </c>
      <c r="H1811" t="s">
        <v>423</v>
      </c>
    </row>
    <row r="1812" spans="6:8" x14ac:dyDescent="0.3">
      <c r="F1812" t="s">
        <v>2216</v>
      </c>
      <c r="G1812">
        <v>50.803199999999997</v>
      </c>
      <c r="H1812" t="s">
        <v>423</v>
      </c>
    </row>
    <row r="1813" spans="6:8" x14ac:dyDescent="0.3">
      <c r="F1813" t="s">
        <v>2217</v>
      </c>
      <c r="G1813">
        <v>90.460799999999992</v>
      </c>
      <c r="H1813" t="s">
        <v>423</v>
      </c>
    </row>
    <row r="1814" spans="6:8" x14ac:dyDescent="0.3">
      <c r="F1814" t="s">
        <v>2218</v>
      </c>
      <c r="G1814">
        <v>21.7728</v>
      </c>
      <c r="H1814" t="s">
        <v>423</v>
      </c>
    </row>
    <row r="1815" spans="6:8" x14ac:dyDescent="0.3">
      <c r="F1815" t="s">
        <v>2219</v>
      </c>
      <c r="G1815">
        <v>96.94080000000001</v>
      </c>
      <c r="H1815" t="s">
        <v>423</v>
      </c>
    </row>
    <row r="1816" spans="6:8" x14ac:dyDescent="0.3">
      <c r="F1816" t="s">
        <v>2220</v>
      </c>
      <c r="G1816">
        <v>67.391999999999996</v>
      </c>
      <c r="H1816" t="s">
        <v>423</v>
      </c>
    </row>
    <row r="1817" spans="6:8" x14ac:dyDescent="0.3">
      <c r="F1817" t="s">
        <v>2221</v>
      </c>
      <c r="G1817">
        <v>22.2912</v>
      </c>
      <c r="H1817" t="s">
        <v>423</v>
      </c>
    </row>
    <row r="1818" spans="6:8" x14ac:dyDescent="0.3">
      <c r="F1818" t="s">
        <v>2222</v>
      </c>
      <c r="G1818">
        <v>46.655999999999992</v>
      </c>
      <c r="H1818" t="s">
        <v>423</v>
      </c>
    </row>
    <row r="1819" spans="6:8" x14ac:dyDescent="0.3">
      <c r="F1819" t="s">
        <v>2223</v>
      </c>
      <c r="G1819">
        <v>31.363199999999999</v>
      </c>
      <c r="H1819" t="s">
        <v>423</v>
      </c>
    </row>
    <row r="1820" spans="6:8" x14ac:dyDescent="0.3">
      <c r="F1820" t="s">
        <v>2224</v>
      </c>
      <c r="G1820">
        <v>60.911999999999999</v>
      </c>
      <c r="H1820" t="s">
        <v>423</v>
      </c>
    </row>
    <row r="1821" spans="6:8" x14ac:dyDescent="0.3">
      <c r="F1821" t="s">
        <v>2225</v>
      </c>
      <c r="G1821">
        <v>33.177599999999998</v>
      </c>
      <c r="H1821" t="s">
        <v>423</v>
      </c>
    </row>
    <row r="1822" spans="6:8" x14ac:dyDescent="0.3">
      <c r="F1822" t="s">
        <v>2226</v>
      </c>
      <c r="G1822">
        <v>60.652799999999999</v>
      </c>
      <c r="H1822" t="s">
        <v>423</v>
      </c>
    </row>
    <row r="1823" spans="6:8" x14ac:dyDescent="0.3">
      <c r="F1823" t="s">
        <v>2227</v>
      </c>
      <c r="G1823">
        <v>27.993600000000001</v>
      </c>
      <c r="H1823" t="s">
        <v>423</v>
      </c>
    </row>
    <row r="1824" spans="6:8" x14ac:dyDescent="0.3">
      <c r="F1824" t="s">
        <v>2228</v>
      </c>
      <c r="G1824">
        <v>38.620800000000003</v>
      </c>
      <c r="H1824" t="s">
        <v>423</v>
      </c>
    </row>
    <row r="1825" spans="6:8" x14ac:dyDescent="0.3">
      <c r="F1825" t="s">
        <v>2229</v>
      </c>
      <c r="G1825">
        <v>85.79519999999998</v>
      </c>
      <c r="H1825" t="s">
        <v>423</v>
      </c>
    </row>
    <row r="1826" spans="6:8" x14ac:dyDescent="0.3">
      <c r="F1826" t="s">
        <v>2230</v>
      </c>
      <c r="G1826">
        <v>155.7792</v>
      </c>
      <c r="H1826" t="s">
        <v>427</v>
      </c>
    </row>
    <row r="1827" spans="6:8" x14ac:dyDescent="0.3">
      <c r="F1827" t="s">
        <v>2231</v>
      </c>
      <c r="G1827">
        <v>46.396800000000013</v>
      </c>
      <c r="H1827" t="s">
        <v>423</v>
      </c>
    </row>
    <row r="1828" spans="6:8" x14ac:dyDescent="0.3">
      <c r="F1828" t="s">
        <v>2232</v>
      </c>
      <c r="G1828">
        <v>46.655999999999999</v>
      </c>
      <c r="H1828" t="s">
        <v>423</v>
      </c>
    </row>
    <row r="1829" spans="6:8" x14ac:dyDescent="0.3">
      <c r="F1829" t="s">
        <v>2233</v>
      </c>
      <c r="G1829">
        <v>34.991999999999997</v>
      </c>
      <c r="H1829" t="s">
        <v>423</v>
      </c>
    </row>
    <row r="1830" spans="6:8" x14ac:dyDescent="0.3">
      <c r="F1830" t="s">
        <v>2234</v>
      </c>
      <c r="G1830">
        <v>63.763199999999998</v>
      </c>
      <c r="H1830" t="s">
        <v>423</v>
      </c>
    </row>
    <row r="1831" spans="6:8" x14ac:dyDescent="0.3">
      <c r="F1831" t="s">
        <v>2235</v>
      </c>
      <c r="G1831">
        <v>56.246399999999987</v>
      </c>
      <c r="H1831" t="s">
        <v>423</v>
      </c>
    </row>
    <row r="1832" spans="6:8" x14ac:dyDescent="0.3">
      <c r="F1832" t="s">
        <v>2236</v>
      </c>
      <c r="G1832">
        <v>31.881599999999999</v>
      </c>
      <c r="H1832" t="s">
        <v>423</v>
      </c>
    </row>
    <row r="1833" spans="6:8" x14ac:dyDescent="0.3">
      <c r="F1833" t="s">
        <v>2237</v>
      </c>
      <c r="G1833">
        <v>56.505599999999987</v>
      </c>
      <c r="H1833" t="s">
        <v>423</v>
      </c>
    </row>
    <row r="1834" spans="6:8" x14ac:dyDescent="0.3">
      <c r="F1834" t="s">
        <v>2238</v>
      </c>
      <c r="G1834">
        <v>52.272000000000013</v>
      </c>
      <c r="H1834" t="s">
        <v>423</v>
      </c>
    </row>
    <row r="1835" spans="6:8" x14ac:dyDescent="0.3">
      <c r="F1835" t="s">
        <v>2239</v>
      </c>
      <c r="G1835">
        <v>46.953000000000003</v>
      </c>
      <c r="H1835" t="s">
        <v>423</v>
      </c>
    </row>
    <row r="1836" spans="6:8" x14ac:dyDescent="0.3">
      <c r="F1836" t="s">
        <v>2240</v>
      </c>
      <c r="G1836">
        <v>260.83280000000002</v>
      </c>
      <c r="H1836" t="s">
        <v>427</v>
      </c>
    </row>
    <row r="1837" spans="6:8" x14ac:dyDescent="0.3">
      <c r="F1837" t="s">
        <v>2241</v>
      </c>
      <c r="G1837">
        <v>-251.9958</v>
      </c>
      <c r="H1837" t="s">
        <v>423</v>
      </c>
    </row>
    <row r="1838" spans="6:8" x14ac:dyDescent="0.3">
      <c r="F1838" t="s">
        <v>2242</v>
      </c>
      <c r="G1838">
        <v>592.78959999999995</v>
      </c>
      <c r="H1838" t="s">
        <v>433</v>
      </c>
    </row>
    <row r="1839" spans="6:8" x14ac:dyDescent="0.3">
      <c r="F1839" t="s">
        <v>2243</v>
      </c>
      <c r="G1839">
        <v>76.923200000000008</v>
      </c>
      <c r="H1839" t="s">
        <v>423</v>
      </c>
    </row>
    <row r="1840" spans="6:8" x14ac:dyDescent="0.3">
      <c r="F1840" t="s">
        <v>2244</v>
      </c>
      <c r="G1840">
        <v>-13.327999999999999</v>
      </c>
      <c r="H1840" t="s">
        <v>423</v>
      </c>
    </row>
    <row r="1841" spans="6:8" x14ac:dyDescent="0.3">
      <c r="F1841" t="s">
        <v>2245</v>
      </c>
      <c r="G1841">
        <v>-938.28</v>
      </c>
      <c r="H1841" t="s">
        <v>423</v>
      </c>
    </row>
    <row r="1842" spans="6:8" x14ac:dyDescent="0.3">
      <c r="F1842" t="s">
        <v>2246</v>
      </c>
      <c r="G1842">
        <v>509.71199999999999</v>
      </c>
      <c r="H1842" t="s">
        <v>433</v>
      </c>
    </row>
    <row r="1843" spans="6:8" x14ac:dyDescent="0.3">
      <c r="F1843" t="s">
        <v>2247</v>
      </c>
      <c r="G1843">
        <v>3343.5360000000001</v>
      </c>
      <c r="H1843" t="s">
        <v>433</v>
      </c>
    </row>
    <row r="1844" spans="6:8" x14ac:dyDescent="0.3">
      <c r="F1844" t="s">
        <v>2248</v>
      </c>
      <c r="G1844">
        <v>20.672000000000001</v>
      </c>
      <c r="H1844" t="s">
        <v>423</v>
      </c>
    </row>
    <row r="1845" spans="6:8" x14ac:dyDescent="0.3">
      <c r="F1845" t="s">
        <v>2249</v>
      </c>
      <c r="G1845">
        <v>11.731199999999999</v>
      </c>
      <c r="H1845" t="s">
        <v>423</v>
      </c>
    </row>
    <row r="1846" spans="6:8" x14ac:dyDescent="0.3">
      <c r="F1846" t="s">
        <v>2250</v>
      </c>
      <c r="G1846">
        <v>-58.818899999999992</v>
      </c>
      <c r="H1846" t="s">
        <v>423</v>
      </c>
    </row>
    <row r="1847" spans="6:8" x14ac:dyDescent="0.3">
      <c r="F1847" t="s">
        <v>2251</v>
      </c>
      <c r="G1847">
        <v>17.497499999999999</v>
      </c>
      <c r="H1847" t="s">
        <v>423</v>
      </c>
    </row>
    <row r="1848" spans="6:8" x14ac:dyDescent="0.3">
      <c r="F1848" t="s">
        <v>2252</v>
      </c>
      <c r="G1848">
        <v>115.64400000000001</v>
      </c>
      <c r="H1848" t="s">
        <v>427</v>
      </c>
    </row>
    <row r="1849" spans="6:8" x14ac:dyDescent="0.3">
      <c r="F1849" t="s">
        <v>2253</v>
      </c>
      <c r="G1849">
        <v>-11.994</v>
      </c>
      <c r="H1849" t="s">
        <v>423</v>
      </c>
    </row>
    <row r="1850" spans="6:8" x14ac:dyDescent="0.3">
      <c r="F1850" t="s">
        <v>2254</v>
      </c>
      <c r="G1850">
        <v>-50.3748</v>
      </c>
      <c r="H1850" t="s">
        <v>423</v>
      </c>
    </row>
    <row r="1851" spans="6:8" x14ac:dyDescent="0.3">
      <c r="F1851" t="s">
        <v>2255</v>
      </c>
      <c r="G1851">
        <v>171.26480000000001</v>
      </c>
      <c r="H1851" t="s">
        <v>427</v>
      </c>
    </row>
    <row r="1852" spans="6:8" x14ac:dyDescent="0.3">
      <c r="F1852" t="s">
        <v>2256</v>
      </c>
      <c r="G1852">
        <v>430.41800000000001</v>
      </c>
      <c r="H1852" t="s">
        <v>427</v>
      </c>
    </row>
  </sheetData>
  <autoFilter ref="C8:C302" xr:uid="{00000000-0001-0000-0700-000000000000}">
    <filterColumn colId="0">
      <top10 val="10" filterVal="12129.072"/>
    </filterColumn>
  </autoFilter>
  <sortState xmlns:xlrd2="http://schemas.microsoft.com/office/spreadsheetml/2017/richdata2" ref="C9:C302">
    <sortCondition descending="1" ref="C8:C302"/>
  </sortState>
  <pageMargins left="0.75" right="0.75" top="1" bottom="1" header="0.5" footer="0.5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C610-3D65-4F3F-A594-681F14CC78C0}">
  <sheetPr>
    <pageSetUpPr autoPageBreaks="0"/>
  </sheetPr>
  <dimension ref="A1:AN87"/>
  <sheetViews>
    <sheetView showGridLines="0" tabSelected="1" showRuler="0" zoomScale="60" zoomScaleNormal="60" workbookViewId="0">
      <selection activeCell="B4" sqref="B4"/>
    </sheetView>
  </sheetViews>
  <sheetFormatPr defaultRowHeight="14.4" x14ac:dyDescent="0.3"/>
  <cols>
    <col min="22" max="22" width="8.88671875" customWidth="1"/>
  </cols>
  <sheetData>
    <row r="1" spans="1:40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pans="1:40" ht="33.6" x14ac:dyDescent="0.6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8" t="s">
        <v>2303</v>
      </c>
      <c r="Q2" s="16"/>
      <c r="R2" s="16"/>
      <c r="S2" s="16"/>
      <c r="T2" s="16"/>
      <c r="U2" s="16"/>
      <c r="V2" s="16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1:40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5.8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3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4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18" x14ac:dyDescent="0.3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5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4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18" x14ac:dyDescent="0.3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5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4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18" x14ac:dyDescent="0.3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5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4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18" x14ac:dyDescent="0.3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5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4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18" x14ac:dyDescent="0.3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5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4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18" x14ac:dyDescent="0.3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5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4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18" x14ac:dyDescent="0.3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5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4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8" hidden="1" x14ac:dyDescent="0.3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5" t="s">
        <v>2304</v>
      </c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28.8" x14ac:dyDescent="0.55000000000000004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6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</row>
    <row r="43" spans="1:40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</row>
    <row r="50" spans="1:40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</row>
    <row r="51" spans="1:40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 spans="1:40" x14ac:dyDescent="0.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 spans="1:40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 spans="1:40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</row>
    <row r="55" spans="1:40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 spans="1:40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 spans="1:40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spans="1:40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 spans="1:40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 spans="1:40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 spans="1:40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spans="1:40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</row>
    <row r="63" spans="1:40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spans="1:40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 spans="1:29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spans="1:29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</row>
    <row r="67" spans="1:29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 spans="1:29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 spans="1:29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</row>
    <row r="70" spans="1:29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 spans="1:29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</row>
    <row r="72" spans="1:29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</row>
    <row r="73" spans="1:29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</row>
    <row r="74" spans="1:29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 spans="1:29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</row>
    <row r="76" spans="1:29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</row>
    <row r="77" spans="1:29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</row>
    <row r="78" spans="1:29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</row>
    <row r="79" spans="1:29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</row>
    <row r="80" spans="1:29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</row>
    <row r="81" spans="1:29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</row>
    <row r="82" spans="1:29" x14ac:dyDescent="0.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</row>
    <row r="83" spans="1:29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</row>
    <row r="84" spans="1:29" x14ac:dyDescent="0.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</row>
    <row r="85" spans="1:29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</row>
    <row r="86" spans="1:29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</row>
    <row r="87" spans="1:29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Problem_1</vt:lpstr>
      <vt:lpstr>Problem_2</vt:lpstr>
      <vt:lpstr>Problem_3</vt:lpstr>
      <vt:lpstr>Problem_4</vt:lpstr>
      <vt:lpstr>Problem_5</vt:lpstr>
      <vt:lpstr>Problem_6</vt:lpstr>
      <vt:lpstr>Problem_7</vt:lpstr>
      <vt:lpstr>Problem_8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Muthukumar Kumar</cp:lastModifiedBy>
  <cp:lastPrinted>2026-07-03T09:22:56Z</cp:lastPrinted>
  <dcterms:created xsi:type="dcterms:W3CDTF">2026-07-02T05:55:09Z</dcterms:created>
  <dcterms:modified xsi:type="dcterms:W3CDTF">2026-07-04T14:26:22Z</dcterms:modified>
</cp:coreProperties>
</file>